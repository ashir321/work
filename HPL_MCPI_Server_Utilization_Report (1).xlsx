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urav.Sen\Downloads\"/>
    </mc:Choice>
  </mc:AlternateContent>
  <bookViews>
    <workbookView xWindow="0" yWindow="0" windowWidth="20490" windowHeight="7635" firstSheet="1" activeTab="4"/>
  </bookViews>
  <sheets>
    <sheet name="Executive Dashboard" sheetId="1" r:id="rId1"/>
    <sheet name="All Servers" sheetId="2" r:id="rId2"/>
    <sheet name="CPU Underutilized" sheetId="3" r:id="rId3"/>
    <sheet name="RAM Underutilized" sheetId="4" r:id="rId4"/>
    <sheet name="Overall Underutilized" sheetId="5" r:id="rId5"/>
  </sheets>
  <calcPr calcId="152511"/>
</workbook>
</file>

<file path=xl/calcChain.xml><?xml version="1.0" encoding="utf-8"?>
<calcChain xmlns="http://schemas.openxmlformats.org/spreadsheetml/2006/main">
  <c r="M25" i="5" l="1"/>
  <c r="N25" i="5"/>
  <c r="N22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6" i="5"/>
  <c r="L25" i="5"/>
  <c r="L22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6" i="5"/>
  <c r="K6" i="5"/>
  <c r="M22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7" i="5"/>
  <c r="M6" i="5"/>
  <c r="K7" i="5" l="1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 l="1"/>
  <c r="K25" i="5" s="1"/>
  <c r="G9" i="1"/>
  <c r="G8" i="1"/>
  <c r="G7" i="1"/>
  <c r="G6" i="1"/>
</calcChain>
</file>

<file path=xl/sharedStrings.xml><?xml version="1.0" encoding="utf-8"?>
<sst xmlns="http://schemas.openxmlformats.org/spreadsheetml/2006/main" count="415" uniqueCount="204">
  <si>
    <t>90-day utilization assessment as of 3 August 2026 | Click 'View Servers' to open each category</t>
  </si>
  <si>
    <t>#</t>
  </si>
  <si>
    <t>Executive Observation</t>
  </si>
  <si>
    <t>Server Count</t>
  </si>
  <si>
    <t>% of Total</t>
  </si>
  <si>
    <t>Criterion</t>
  </si>
  <si>
    <t>Interpretation</t>
  </si>
  <si>
    <t>Server List</t>
  </si>
  <si>
    <t>Decision</t>
  </si>
  <si>
    <t>All servers assessed</t>
  </si>
  <si>
    <t>All servers in the source utilization report</t>
  </si>
  <si>
    <t>Baseline population used for the assessment.</t>
  </si>
  <si>
    <t>Reference</t>
  </si>
  <si>
    <t>CPU underutilized</t>
  </si>
  <si>
    <t>Average CPU &lt; 5%</t>
  </si>
  <si>
    <t>These servers show low sustained processor usage.</t>
  </si>
  <si>
    <t>Review for CPU right-sizing</t>
  </si>
  <si>
    <t>RAM underutilized</t>
  </si>
  <si>
    <t>Average RAM &lt; 40%</t>
  </si>
  <si>
    <t>These servers show low sustained memory usage where RAM data is available.</t>
  </si>
  <si>
    <t>Review for RAM right-sizing</t>
  </si>
  <si>
    <t>Overall underutilized</t>
  </si>
  <si>
    <t>Average CPU &lt; 5% and Average RAM &lt; 40%</t>
  </si>
  <si>
    <t>Strongest candidates for right-sizing because both CPU and RAM are lightly used.</t>
  </si>
  <si>
    <t>Priority optimization candidates</t>
  </si>
  <si>
    <t>All Servers</t>
  </si>
  <si>
    <t>Complete list of all 71 servers included in the 90-day utilization assessment.</t>
  </si>
  <si>
    <t>Instance Name</t>
  </si>
  <si>
    <t>Private IP</t>
  </si>
  <si>
    <t>mcube Stack Component</t>
  </si>
  <si>
    <t>Configured CPU (Cores)</t>
  </si>
  <si>
    <t>Configured RAM (GB)</t>
  </si>
  <si>
    <t>Average CPU %</t>
  </si>
  <si>
    <t>Maximum CPU %</t>
  </si>
  <si>
    <t>Average RAM %</t>
  </si>
  <si>
    <t>Maximum RAM %</t>
  </si>
  <si>
    <t>LD-Mcube-Dev-VM2-10.110.1.143</t>
  </si>
  <si>
    <t>10.110.1.143</t>
  </si>
  <si>
    <t>hplglobal-mcube530-Genie-192.112.210.40</t>
  </si>
  <si>
    <t>192.112.210.40</t>
  </si>
  <si>
    <t>Genie Services</t>
  </si>
  <si>
    <t>hplglobalprod-eLog-192.112.110.24</t>
  </si>
  <si>
    <t>192.112.110.24</t>
  </si>
  <si>
    <t>hplglobalprod_paas_CustomApp1-192.112.110.18</t>
  </si>
  <si>
    <t>192.112.110.18</t>
  </si>
  <si>
    <t>hplglobalprod_epod-blockchain-SL01-192.112.210.19</t>
  </si>
  <si>
    <t>192.112.210.19</t>
  </si>
  <si>
    <t>lummus-bastion-10.110.1.58</t>
  </si>
  <si>
    <t>10.110.1.58</t>
  </si>
  <si>
    <t>hplglobalprod_epod-blockchain-SL02-192.112.210.20</t>
  </si>
  <si>
    <t>192.112.210.20</t>
  </si>
  <si>
    <t>HPL-MCPI-PoC-Blockchain-02-192.150.200.26</t>
  </si>
  <si>
    <t>192.150.200.26</t>
  </si>
  <si>
    <t>prod-mcpi-paas_tomcat-olpis-100.105.1.23</t>
  </si>
  <si>
    <t>100.105.1.23</t>
  </si>
  <si>
    <t>MCPI-mcube530-ES-Master-Data-2-100.105.2.22</t>
  </si>
  <si>
    <t>100.105.2.22</t>
  </si>
  <si>
    <t>Elasticsearch Data Node</t>
  </si>
  <si>
    <t>prod-mcpi-paas_bastion-100.105.1.20</t>
  </si>
  <si>
    <t>100.105.1.20</t>
  </si>
  <si>
    <t>PROD-TuTeck-UI-16.20.3.10</t>
  </si>
  <si>
    <t>16.20.3.10</t>
  </si>
  <si>
    <t>hplglobal-mcube530-Pentaho-192.112.210.39</t>
  </si>
  <si>
    <t>192.112.210.39</t>
  </si>
  <si>
    <t>Pentaho</t>
  </si>
  <si>
    <t>prod-mcpi-paas_mcube-TDATAser-100.105.2.35</t>
  </si>
  <si>
    <t>100.105.2.35</t>
  </si>
  <si>
    <t>hplglobal_es-data1_192.112.210.14</t>
  </si>
  <si>
    <t>192.112.210.14</t>
  </si>
  <si>
    <t>dev-olpis-192.150.100.14</t>
  </si>
  <si>
    <t>192.150.100.14</t>
  </si>
  <si>
    <t>MCPI-mcube530-Staging-DB-Genie-100.105.2.25</t>
  </si>
  <si>
    <t>100.105.2.25</t>
  </si>
  <si>
    <t>Genie</t>
  </si>
  <si>
    <t>hplglobal-mcube530-BI-192.112.210.36</t>
  </si>
  <si>
    <t>192.112.210.36</t>
  </si>
  <si>
    <t>mcube BI</t>
  </si>
  <si>
    <t>hplglobalprod_AA_192.112.110.17</t>
  </si>
  <si>
    <t>192.112.110.17</t>
  </si>
  <si>
    <t>HPL-Sandbox-Kafka-192.112.210.35</t>
  </si>
  <si>
    <t>192.112.210.35</t>
  </si>
  <si>
    <t>hplglobal-CTRM_192.112.110.13</t>
  </si>
  <si>
    <t>192.112.110.13</t>
  </si>
  <si>
    <t>PROD-TuTeck-Backend-16.20.4.10</t>
  </si>
  <si>
    <t>16.20.4.10</t>
  </si>
  <si>
    <t>TuTeck-UAT-16.20.2.11</t>
  </si>
  <si>
    <t>16.20.2.11</t>
  </si>
  <si>
    <t>hplglobal-bastion-192.112.110.34</t>
  </si>
  <si>
    <t>192.112.110.34</t>
  </si>
  <si>
    <t>hplglobal-mcube530-K8S-192.112.110.38</t>
  </si>
  <si>
    <t>192.112.110.38</t>
  </si>
  <si>
    <t>Kubernetes Master VM (Installer Control System)</t>
  </si>
  <si>
    <t>HPL-MCPI_LLF_-PoC1-192.150.100.27</t>
  </si>
  <si>
    <t>192.150.100.27</t>
  </si>
  <si>
    <t>hplglobal-mcube530-ES1-192.112.210.37</t>
  </si>
  <si>
    <t>192.112.210.37</t>
  </si>
  <si>
    <t>Elasticsearch (Master + Data 1)</t>
  </si>
  <si>
    <t>MCPI-mcube530-Morphex2-100.105.2.27</t>
  </si>
  <si>
    <t>100.105.2.27</t>
  </si>
  <si>
    <t>Morphex Executor</t>
  </si>
  <si>
    <t>TuTeck-Bastion-16.20.1.9</t>
  </si>
  <si>
    <t>16.20.1.9</t>
  </si>
  <si>
    <t>hplglobal-mcube530-ES2-192.112.210.38</t>
  </si>
  <si>
    <t>192.112.210.38</t>
  </si>
  <si>
    <t>Elasticsearch Data 2</t>
  </si>
  <si>
    <t>prod-mcpi-paas_gsmpl-100.105.1.28</t>
  </si>
  <si>
    <t>100.105.1.28</t>
  </si>
  <si>
    <t>Custom Node</t>
  </si>
  <si>
    <t>HPL-Sandbox-ES2-SparkSlave2-192.112.210.34</t>
  </si>
  <si>
    <t>192.112.210.34</t>
  </si>
  <si>
    <t>hplglobalprod_paas_CustomApp2-192.112.110.19</t>
  </si>
  <si>
    <t>192.112.110.19</t>
  </si>
  <si>
    <t>MCPI-mcube530-Pentaho-100.105.2.23</t>
  </si>
  <si>
    <t>100.105.2.23</t>
  </si>
  <si>
    <t>Pentaho + Guacamole</t>
  </si>
  <si>
    <t>prod-mcpi-paas_epod-blockchain-SL01-100.105.2.18</t>
  </si>
  <si>
    <t>100.105.2.18</t>
  </si>
  <si>
    <t>hpl-prod-mcube-54-eks-ops-vm-192.112.1.165</t>
  </si>
  <si>
    <t>192.112.1.165</t>
  </si>
  <si>
    <t>hplglobal-mcube530-AA-192.112.210.42</t>
  </si>
  <si>
    <t>192.112.210.42</t>
  </si>
  <si>
    <t>Advanced Analytics</t>
  </si>
  <si>
    <t>hplglobal_App_CTRM_192.112.110.12</t>
  </si>
  <si>
    <t>192.112.110.12</t>
  </si>
  <si>
    <t>LD-Mcube-Dev-VM4-10.110.1.148</t>
  </si>
  <si>
    <t>10.110.1.148</t>
  </si>
  <si>
    <t>prod-mcpi-paas_epod-blockchain-MS-100.105.2.17</t>
  </si>
  <si>
    <t>100.105.2.17</t>
  </si>
  <si>
    <t>LD-Ethylene-Windows-Dev-10.110.1.44</t>
  </si>
  <si>
    <t>10.110.1.44</t>
  </si>
  <si>
    <t>prod-MCPI-eLog-100.105.1.27</t>
  </si>
  <si>
    <t>100.105.1.27</t>
  </si>
  <si>
    <t>HPL-prod-CPLEX-Win-192.112.110.20</t>
  </si>
  <si>
    <t>192.112.110.20</t>
  </si>
  <si>
    <t>MCPI-mcube530-master-100.105.1.30</t>
  </si>
  <si>
    <t>100.105.1.30</t>
  </si>
  <si>
    <t>hplglobalprod_epod_192.112.110.22</t>
  </si>
  <si>
    <t>192.112.110.22</t>
  </si>
  <si>
    <t>hplglobalprod_epod-blockchain-MS-192.112.210.18</t>
  </si>
  <si>
    <t>192.112.210.18</t>
  </si>
  <si>
    <t>hplglobalprod_LVA_CTRM_192.112.110.14</t>
  </si>
  <si>
    <t>192.112.110.14</t>
  </si>
  <si>
    <t>HPL-Sandbox-AA-Livy-master-192.112.110.32</t>
  </si>
  <si>
    <t>192.112.110.32</t>
  </si>
  <si>
    <t>ld-hpmcgsm-dev-54-eks-control-node-10.110.1.69</t>
  </si>
  <si>
    <t>10.110.1.69</t>
  </si>
  <si>
    <t>LD-HPMC-dev-OLPIS-vm-10.110.1.32</t>
  </si>
  <si>
    <t>10.110.1.32</t>
  </si>
  <si>
    <t>LD-Mcube-Dev-VM5-10.110.1.149</t>
  </si>
  <si>
    <t>10.110.1.149</t>
  </si>
  <si>
    <t>LD-HPMC-VM-10.110.1.38</t>
  </si>
  <si>
    <t>10.110.1.38</t>
  </si>
  <si>
    <t>LD-HPMC-Custom HPMC-10.110.1.34</t>
  </si>
  <si>
    <t>10.110.1.34</t>
  </si>
  <si>
    <t>prod-mcpi-paas_tomcat-PX-PTA-100.105.1.22</t>
  </si>
  <si>
    <t>100.105.1.22</t>
  </si>
  <si>
    <t>HPL-agentic-ai-dev-new-10.110.1.50</t>
  </si>
  <si>
    <t>10.110.1.50</t>
  </si>
  <si>
    <t>prod-mcpi-paas_epod-blockchain-SL02-100.105.2.19</t>
  </si>
  <si>
    <t>100.105.2.19</t>
  </si>
  <si>
    <t>LD-Mcube-Dev-K8M-VM1-10.110.1.39</t>
  </si>
  <si>
    <t>10.110.1.39</t>
  </si>
  <si>
    <t>MCPI-mcube530-ES-Master-Data-1-100.105.2.21</t>
  </si>
  <si>
    <t>100.105.2.21</t>
  </si>
  <si>
    <t>Elasticsearch (MDI)</t>
  </si>
  <si>
    <t>prod-mcpi-paas_epod-100.105.1.25</t>
  </si>
  <si>
    <t>100.105.1.25</t>
  </si>
  <si>
    <t>Lummus-DEV-windows-server-10.110.1.33</t>
  </si>
  <si>
    <t>10.110.1.33</t>
  </si>
  <si>
    <t>hplglobalprod_ES1_192.112.210.16</t>
  </si>
  <si>
    <t>192.112.210.16</t>
  </si>
  <si>
    <t>HPL-prod-MFI-Prediction-192.112.110.37</t>
  </si>
  <si>
    <t>192.112.110.37</t>
  </si>
  <si>
    <t>HPL-Sandbox-ES1-SparkSlave1-192.112.210.33</t>
  </si>
  <si>
    <t>192.112.210.33</t>
  </si>
  <si>
    <t>TuTeck-UAT-16.20.1.11</t>
  </si>
  <si>
    <t>16.20.1.11</t>
  </si>
  <si>
    <t>LD-Mcube-Dev-VM3-10.110.1.142</t>
  </si>
  <si>
    <t>10.110.1.142</t>
  </si>
  <si>
    <t>MCPI-mcube530-Morphex1-100.105.2.26</t>
  </si>
  <si>
    <t>100.105.2.26</t>
  </si>
  <si>
    <t>Morphex Components</t>
  </si>
  <si>
    <t>MCPI-mcube530-Advanced-Analytics-100.105.2.24</t>
  </si>
  <si>
    <t>100.105.2.24</t>
  </si>
  <si>
    <t>hplglobalprod_paas_llf_192.112.110.23</t>
  </si>
  <si>
    <t>192.112.110.23</t>
  </si>
  <si>
    <t>HPL-Sandbox-mcube-ES-master-192.112.110.31</t>
  </si>
  <si>
    <t>192.112.110.31</t>
  </si>
  <si>
    <t>MCPI-mcube530-BI-100.105.2.20</t>
  </si>
  <si>
    <t>100.105.2.20</t>
  </si>
  <si>
    <t>HPL-prod-agentic-ai-192.112.110.36</t>
  </si>
  <si>
    <t>192.112.110.36</t>
  </si>
  <si>
    <t>CPU Underutilized</t>
  </si>
  <si>
    <t>Criterion: Average CPU utilization below 5% during the 90-day assessment period.</t>
  </si>
  <si>
    <t>RAM Underutilized</t>
  </si>
  <si>
    <t>Criterion: Average RAM utilization below 40% where RAM telemetry is available.</t>
  </si>
  <si>
    <t>Overall Underutilized</t>
  </si>
  <si>
    <t>Criterion: Average CPU below 5% and average RAM below 40% during the 90-day assessment period.</t>
  </si>
  <si>
    <t>Executive Dashboard</t>
  </si>
  <si>
    <t>Free RAM(Based on Max Usage)</t>
  </si>
  <si>
    <t>Free CPU(Based on Max Usage)</t>
  </si>
  <si>
    <t>Free RAM (Based on Avg Usage)</t>
  </si>
  <si>
    <t>Free CPU (Based on Avg Usage)</t>
  </si>
  <si>
    <t>After 30% Substraction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</si>
</sst>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>
    <font>
      <sz val="11"/>
      <name val="Carlito"/>
    </font>
    <font>
      <b/>
      <sz val="17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color rgb="FF2F641C"/>
      <name val="Carlito"/>
    </font>
    <font>
      <b/>
      <sz val="19"/>
      <color rgb="FFFFFFFF"/>
      <name val="Carlito"/>
    </font>
    <font>
      <b/>
      <sz val="11"/>
      <name val="Carlito"/>
    </font>
    <font>
      <b/>
      <sz val="10"/>
      <name val="Carlito"/>
    </font>
    <font>
      <sz val="10"/>
      <name val="Carlito"/>
    </font>
    <font>
      <b/>
      <sz val="10"/>
      <color rgb="FF0563C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6" fillId="6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7" fillId="0" borderId="0" xfId="0" applyNumberFormat="1" applyFont="1" applyFill="1" applyBorder="1" applyAlignment="1">
      <alignment horizontal="center" vertical="center" wrapText="1"/>
    </xf>
    <xf numFmtId="164" fontId="8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G7" sqref="G7"/>
    </sheetView>
  </sheetViews>
  <sheetFormatPr defaultRowHeight="14.25"/>
  <cols>
    <col min="1" max="1" width="6" customWidth="1"/>
    <col min="2" max="2" width="19" customWidth="1"/>
    <col min="3" max="3" width="9.75" customWidth="1"/>
    <col min="4" max="4" width="11.875" customWidth="1"/>
    <col min="5" max="5" width="33.25" customWidth="1"/>
    <col min="6" max="6" width="35.125" customWidth="1"/>
    <col min="7" max="7" width="20" customWidth="1"/>
    <col min="8" max="8" width="29" customWidth="1"/>
  </cols>
  <sheetData>
    <row r="1" spans="1:8">
      <c r="A1" s="13" t="s">
        <v>198</v>
      </c>
      <c r="B1" s="13"/>
      <c r="C1" s="13"/>
      <c r="D1" s="13"/>
      <c r="E1" s="13"/>
      <c r="F1" s="13"/>
      <c r="G1" s="13"/>
      <c r="H1" s="13"/>
    </row>
    <row r="2" spans="1:8">
      <c r="A2" s="13"/>
      <c r="B2" s="13"/>
      <c r="C2" s="13"/>
      <c r="D2" s="13"/>
      <c r="E2" s="13"/>
      <c r="F2" s="13"/>
      <c r="G2" s="13"/>
      <c r="H2" s="13"/>
    </row>
    <row r="3" spans="1:8">
      <c r="A3" s="14" t="s">
        <v>0</v>
      </c>
      <c r="B3" s="14"/>
      <c r="C3" s="14"/>
      <c r="D3" s="14"/>
      <c r="E3" s="14"/>
      <c r="F3" s="14"/>
      <c r="G3" s="14"/>
      <c r="H3" s="14"/>
    </row>
    <row r="5" spans="1:8" s="9" customFormat="1" ht="30">
      <c r="A5" s="8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</row>
    <row r="6" spans="1:8">
      <c r="A6" s="7">
        <v>1</v>
      </c>
      <c r="B6" s="10" t="s">
        <v>9</v>
      </c>
      <c r="C6" s="7">
        <v>71</v>
      </c>
      <c r="D6" s="11">
        <v>1</v>
      </c>
      <c r="E6" s="7" t="s">
        <v>10</v>
      </c>
      <c r="F6" s="7" t="s">
        <v>11</v>
      </c>
      <c r="G6" s="12" t="str">
        <f>HYPERLINK("#'All Servers'!A1","View 71 servers")</f>
        <v>View 71 servers</v>
      </c>
      <c r="H6" s="7" t="s">
        <v>12</v>
      </c>
    </row>
    <row r="7" spans="1:8" ht="25.5">
      <c r="A7" s="7">
        <v>2</v>
      </c>
      <c r="B7" s="10" t="s">
        <v>13</v>
      </c>
      <c r="C7" s="7">
        <v>40</v>
      </c>
      <c r="D7" s="11">
        <v>0.56338028169014087</v>
      </c>
      <c r="E7" s="7" t="s">
        <v>14</v>
      </c>
      <c r="F7" s="7" t="s">
        <v>15</v>
      </c>
      <c r="G7" s="12" t="str">
        <f>HYPERLINK("#'CPU Underutilized'!A1","View 40 servers")</f>
        <v>View 40 servers</v>
      </c>
      <c r="H7" s="7" t="s">
        <v>16</v>
      </c>
    </row>
    <row r="8" spans="1:8" ht="25.5">
      <c r="A8" s="7">
        <v>3</v>
      </c>
      <c r="B8" s="10" t="s">
        <v>17</v>
      </c>
      <c r="C8" s="7">
        <v>23</v>
      </c>
      <c r="D8" s="11">
        <v>0.323943661971831</v>
      </c>
      <c r="E8" s="7" t="s">
        <v>18</v>
      </c>
      <c r="F8" s="7" t="s">
        <v>19</v>
      </c>
      <c r="G8" s="12" t="str">
        <f>HYPERLINK("#'RAM Underutilized'!A1","View 23 servers")</f>
        <v>View 23 servers</v>
      </c>
      <c r="H8" s="7" t="s">
        <v>20</v>
      </c>
    </row>
    <row r="9" spans="1:8" ht="25.5">
      <c r="A9" s="7">
        <v>4</v>
      </c>
      <c r="B9" s="10" t="s">
        <v>21</v>
      </c>
      <c r="C9" s="7">
        <v>16</v>
      </c>
      <c r="D9" s="11">
        <v>0.22535211267605634</v>
      </c>
      <c r="E9" s="7" t="s">
        <v>22</v>
      </c>
      <c r="F9" s="7" t="s">
        <v>23</v>
      </c>
      <c r="G9" s="12" t="str">
        <f>HYPERLINK("#'Overall Underutilized'!A1","View 16 servers")</f>
        <v>View 16 servers</v>
      </c>
      <c r="H9" s="7" t="s">
        <v>24</v>
      </c>
    </row>
  </sheetData>
  <mergeCells count="2">
    <mergeCell ref="A1:H2"/>
    <mergeCell ref="A3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zoomScale="90" zoomScaleNormal="90" workbookViewId="0">
      <selection activeCell="J5" sqref="J5"/>
    </sheetView>
  </sheetViews>
  <sheetFormatPr defaultRowHeight="14.25"/>
  <cols>
    <col min="1" max="1" width="6" customWidth="1"/>
    <col min="2" max="2" width="48" customWidth="1"/>
    <col min="3" max="3" width="18" customWidth="1"/>
    <col min="4" max="4" width="38" customWidth="1"/>
    <col min="5" max="6" width="19" customWidth="1"/>
    <col min="7" max="10" width="15" customWidth="1"/>
  </cols>
  <sheetData>
    <row r="1" spans="1:10">
      <c r="A1" s="15" t="s">
        <v>25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>
      <c r="A3" s="16" t="s">
        <v>26</v>
      </c>
      <c r="B3" s="16"/>
      <c r="C3" s="16"/>
      <c r="D3" s="16"/>
      <c r="E3" s="16"/>
      <c r="F3" s="16"/>
      <c r="G3" s="16"/>
      <c r="H3" s="16"/>
      <c r="I3" s="16"/>
      <c r="J3" s="16"/>
    </row>
    <row r="5" spans="1:10" ht="30">
      <c r="A5" s="1" t="s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</row>
    <row r="6" spans="1:10">
      <c r="A6" s="2">
        <v>1</v>
      </c>
      <c r="B6" s="2" t="s">
        <v>36</v>
      </c>
      <c r="C6" s="2" t="s">
        <v>37</v>
      </c>
      <c r="D6" s="5"/>
      <c r="E6" s="3">
        <v>8</v>
      </c>
      <c r="F6" s="3">
        <v>32</v>
      </c>
      <c r="G6" s="4">
        <v>7.27</v>
      </c>
      <c r="H6" s="4">
        <v>99.99</v>
      </c>
      <c r="I6" s="4">
        <v>40.39</v>
      </c>
      <c r="J6" s="4">
        <v>67.17</v>
      </c>
    </row>
    <row r="7" spans="1:10" ht="15">
      <c r="A7" s="2">
        <v>2</v>
      </c>
      <c r="B7" s="2" t="s">
        <v>38</v>
      </c>
      <c r="C7" s="2" t="s">
        <v>39</v>
      </c>
      <c r="D7" s="6" t="s">
        <v>40</v>
      </c>
      <c r="E7" s="3">
        <v>8</v>
      </c>
      <c r="F7" s="3">
        <v>32</v>
      </c>
      <c r="G7" s="4">
        <v>4.26</v>
      </c>
      <c r="H7" s="4">
        <v>24.6</v>
      </c>
      <c r="I7" s="4">
        <v>15.84</v>
      </c>
      <c r="J7" s="4">
        <v>20.3</v>
      </c>
    </row>
    <row r="8" spans="1:10">
      <c r="A8" s="2">
        <v>3</v>
      </c>
      <c r="B8" s="2" t="s">
        <v>41</v>
      </c>
      <c r="C8" s="2" t="s">
        <v>42</v>
      </c>
      <c r="D8" s="5"/>
      <c r="E8" s="3">
        <v>4</v>
      </c>
      <c r="F8" s="3">
        <v>32</v>
      </c>
      <c r="G8" s="4">
        <v>1.69</v>
      </c>
      <c r="H8" s="4">
        <v>66.28</v>
      </c>
      <c r="I8" s="4">
        <v>22.39</v>
      </c>
      <c r="J8" s="4">
        <v>41.27</v>
      </c>
    </row>
    <row r="9" spans="1:10">
      <c r="A9" s="2">
        <v>4</v>
      </c>
      <c r="B9" s="2" t="s">
        <v>43</v>
      </c>
      <c r="C9" s="2" t="s">
        <v>44</v>
      </c>
      <c r="D9" s="5"/>
      <c r="E9" s="3">
        <v>8</v>
      </c>
      <c r="F9" s="3">
        <v>32</v>
      </c>
      <c r="G9" s="4">
        <v>5.99</v>
      </c>
      <c r="H9" s="4">
        <v>43.75</v>
      </c>
      <c r="I9" s="4">
        <v>54.01</v>
      </c>
      <c r="J9" s="4">
        <v>62.53</v>
      </c>
    </row>
    <row r="10" spans="1:10">
      <c r="A10" s="2">
        <v>5</v>
      </c>
      <c r="B10" s="2" t="s">
        <v>45</v>
      </c>
      <c r="C10" s="2" t="s">
        <v>46</v>
      </c>
      <c r="D10" s="5"/>
      <c r="E10" s="3">
        <v>2</v>
      </c>
      <c r="F10" s="3">
        <v>2</v>
      </c>
      <c r="G10" s="4">
        <v>1.01</v>
      </c>
      <c r="H10" s="4">
        <v>20.43</v>
      </c>
      <c r="I10" s="4">
        <v>10.58</v>
      </c>
      <c r="J10" s="4">
        <v>11.69</v>
      </c>
    </row>
    <row r="11" spans="1:10">
      <c r="A11" s="2">
        <v>6</v>
      </c>
      <c r="B11" s="2" t="s">
        <v>47</v>
      </c>
      <c r="C11" s="2" t="s">
        <v>48</v>
      </c>
      <c r="D11" s="5"/>
      <c r="E11" s="3">
        <v>1</v>
      </c>
      <c r="F11" s="3">
        <v>1</v>
      </c>
      <c r="G11" s="4">
        <v>0.97</v>
      </c>
      <c r="H11" s="4">
        <v>64.94</v>
      </c>
      <c r="I11" s="4"/>
      <c r="J11" s="4"/>
    </row>
    <row r="12" spans="1:10">
      <c r="A12" s="2">
        <v>7</v>
      </c>
      <c r="B12" s="2" t="s">
        <v>49</v>
      </c>
      <c r="C12" s="2" t="s">
        <v>50</v>
      </c>
      <c r="D12" s="5"/>
      <c r="E12" s="3">
        <v>2</v>
      </c>
      <c r="F12" s="3">
        <v>2</v>
      </c>
      <c r="G12" s="4">
        <v>1.19</v>
      </c>
      <c r="H12" s="4">
        <v>15.72</v>
      </c>
      <c r="I12" s="4">
        <v>11.53</v>
      </c>
      <c r="J12" s="4">
        <v>16.68</v>
      </c>
    </row>
    <row r="13" spans="1:10">
      <c r="A13" s="2">
        <v>8</v>
      </c>
      <c r="B13" s="2" t="s">
        <v>51</v>
      </c>
      <c r="C13" s="2" t="s">
        <v>52</v>
      </c>
      <c r="D13" s="5"/>
      <c r="E13" s="3">
        <v>2</v>
      </c>
      <c r="F13" s="3">
        <v>8</v>
      </c>
      <c r="G13" s="4">
        <v>1.21</v>
      </c>
      <c r="H13" s="4">
        <v>63.07</v>
      </c>
      <c r="I13" s="4"/>
      <c r="J13" s="4"/>
    </row>
    <row r="14" spans="1:10">
      <c r="A14" s="2">
        <v>9</v>
      </c>
      <c r="B14" s="2" t="s">
        <v>53</v>
      </c>
      <c r="C14" s="2" t="s">
        <v>54</v>
      </c>
      <c r="D14" s="5"/>
      <c r="E14" s="3">
        <v>4</v>
      </c>
      <c r="F14" s="3">
        <v>16</v>
      </c>
      <c r="G14" s="4">
        <v>1.33</v>
      </c>
      <c r="H14" s="4">
        <v>97.95</v>
      </c>
      <c r="I14" s="4">
        <v>62.13</v>
      </c>
      <c r="J14" s="4">
        <v>77.38</v>
      </c>
    </row>
    <row r="15" spans="1:10" ht="15">
      <c r="A15" s="2">
        <v>10</v>
      </c>
      <c r="B15" s="2" t="s">
        <v>55</v>
      </c>
      <c r="C15" s="2" t="s">
        <v>56</v>
      </c>
      <c r="D15" s="6" t="s">
        <v>57</v>
      </c>
      <c r="E15" s="3">
        <v>4</v>
      </c>
      <c r="F15" s="3">
        <v>16</v>
      </c>
      <c r="G15" s="4">
        <v>6.68</v>
      </c>
      <c r="H15" s="4">
        <v>77.14</v>
      </c>
      <c r="I15" s="4">
        <v>39.729999999999997</v>
      </c>
      <c r="J15" s="4">
        <v>42.93</v>
      </c>
    </row>
    <row r="16" spans="1:10">
      <c r="A16" s="2">
        <v>11</v>
      </c>
      <c r="B16" s="2" t="s">
        <v>58</v>
      </c>
      <c r="C16" s="2" t="s">
        <v>59</v>
      </c>
      <c r="D16" s="5"/>
      <c r="E16" s="3">
        <v>2</v>
      </c>
      <c r="F16" s="3">
        <v>1</v>
      </c>
      <c r="G16" s="4">
        <v>0.61</v>
      </c>
      <c r="H16" s="4">
        <v>15.28</v>
      </c>
      <c r="I16" s="4">
        <v>23.89</v>
      </c>
      <c r="J16" s="4">
        <v>33.770000000000003</v>
      </c>
    </row>
    <row r="17" spans="1:10">
      <c r="A17" s="2">
        <v>12</v>
      </c>
      <c r="B17" s="2" t="s">
        <v>60</v>
      </c>
      <c r="C17" s="2" t="s">
        <v>61</v>
      </c>
      <c r="D17" s="5"/>
      <c r="E17" s="3">
        <v>4</v>
      </c>
      <c r="F17" s="3">
        <v>16</v>
      </c>
      <c r="G17" s="4">
        <v>0.5</v>
      </c>
      <c r="H17" s="4">
        <v>14.71</v>
      </c>
      <c r="I17" s="4">
        <v>3.55</v>
      </c>
      <c r="J17" s="4">
        <v>4.2699999999999996</v>
      </c>
    </row>
    <row r="18" spans="1:10" ht="15">
      <c r="A18" s="2">
        <v>13</v>
      </c>
      <c r="B18" s="2" t="s">
        <v>62</v>
      </c>
      <c r="C18" s="2" t="s">
        <v>63</v>
      </c>
      <c r="D18" s="6" t="s">
        <v>64</v>
      </c>
      <c r="E18" s="3">
        <v>4</v>
      </c>
      <c r="F18" s="3">
        <v>16</v>
      </c>
      <c r="G18" s="4">
        <v>19.670000000000002</v>
      </c>
      <c r="H18" s="4">
        <v>99.78</v>
      </c>
      <c r="I18" s="4">
        <v>42.4</v>
      </c>
      <c r="J18" s="4">
        <v>75.64</v>
      </c>
    </row>
    <row r="19" spans="1:10">
      <c r="A19" s="2">
        <v>14</v>
      </c>
      <c r="B19" s="2" t="s">
        <v>65</v>
      </c>
      <c r="C19" s="2" t="s">
        <v>66</v>
      </c>
      <c r="D19" s="5"/>
      <c r="E19" s="3">
        <v>8</v>
      </c>
      <c r="F19" s="3">
        <v>32</v>
      </c>
      <c r="G19" s="4">
        <v>3.75</v>
      </c>
      <c r="H19" s="4">
        <v>53.28</v>
      </c>
      <c r="I19" s="4">
        <v>26.99</v>
      </c>
      <c r="J19" s="4">
        <v>28.18</v>
      </c>
    </row>
    <row r="20" spans="1:10">
      <c r="A20" s="2">
        <v>15</v>
      </c>
      <c r="B20" s="2" t="s">
        <v>67</v>
      </c>
      <c r="C20" s="2" t="s">
        <v>68</v>
      </c>
      <c r="D20" s="5"/>
      <c r="E20" s="3">
        <v>4</v>
      </c>
      <c r="F20" s="3">
        <v>16</v>
      </c>
      <c r="G20" s="4">
        <v>0.42</v>
      </c>
      <c r="H20" s="4">
        <v>9.73</v>
      </c>
      <c r="I20" s="4"/>
      <c r="J20" s="4"/>
    </row>
    <row r="21" spans="1:10">
      <c r="A21" s="2">
        <v>16</v>
      </c>
      <c r="B21" s="2" t="s">
        <v>69</v>
      </c>
      <c r="C21" s="2" t="s">
        <v>70</v>
      </c>
      <c r="D21" s="5"/>
      <c r="E21" s="3">
        <v>4</v>
      </c>
      <c r="F21" s="3">
        <v>16</v>
      </c>
      <c r="G21" s="4">
        <v>0.39</v>
      </c>
      <c r="H21" s="4">
        <v>56.63</v>
      </c>
      <c r="I21" s="4"/>
      <c r="J21" s="4"/>
    </row>
    <row r="22" spans="1:10" ht="15">
      <c r="A22" s="2">
        <v>17</v>
      </c>
      <c r="B22" s="2" t="s">
        <v>71</v>
      </c>
      <c r="C22" s="2" t="s">
        <v>72</v>
      </c>
      <c r="D22" s="6" t="s">
        <v>73</v>
      </c>
      <c r="E22" s="3">
        <v>8</v>
      </c>
      <c r="F22" s="3">
        <v>32</v>
      </c>
      <c r="G22" s="4">
        <v>4.4000000000000004</v>
      </c>
      <c r="H22" s="4">
        <v>27.41</v>
      </c>
      <c r="I22" s="4">
        <v>10.16</v>
      </c>
      <c r="J22" s="4">
        <v>12.97</v>
      </c>
    </row>
    <row r="23" spans="1:10" ht="15">
      <c r="A23" s="2">
        <v>18</v>
      </c>
      <c r="B23" s="2" t="s">
        <v>74</v>
      </c>
      <c r="C23" s="2" t="s">
        <v>75</v>
      </c>
      <c r="D23" s="6" t="s">
        <v>76</v>
      </c>
      <c r="E23" s="3">
        <v>4</v>
      </c>
      <c r="F23" s="3">
        <v>16</v>
      </c>
      <c r="G23" s="4">
        <v>15.74</v>
      </c>
      <c r="H23" s="4">
        <v>83.34</v>
      </c>
      <c r="I23" s="4">
        <v>57.53</v>
      </c>
      <c r="J23" s="4">
        <v>64.239999999999995</v>
      </c>
    </row>
    <row r="24" spans="1:10">
      <c r="A24" s="2">
        <v>19</v>
      </c>
      <c r="B24" s="2" t="s">
        <v>77</v>
      </c>
      <c r="C24" s="2" t="s">
        <v>78</v>
      </c>
      <c r="D24" s="5"/>
      <c r="E24" s="3">
        <v>4</v>
      </c>
      <c r="F24" s="3">
        <v>16</v>
      </c>
      <c r="G24" s="4">
        <v>7.08</v>
      </c>
      <c r="H24" s="4">
        <v>19.88</v>
      </c>
      <c r="I24" s="4">
        <v>35.68</v>
      </c>
      <c r="J24" s="4">
        <v>36.549999999999997</v>
      </c>
    </row>
    <row r="25" spans="1:10">
      <c r="A25" s="2">
        <v>20</v>
      </c>
      <c r="B25" s="2" t="s">
        <v>79</v>
      </c>
      <c r="C25" s="2" t="s">
        <v>80</v>
      </c>
      <c r="D25" s="5"/>
      <c r="E25" s="3">
        <v>4</v>
      </c>
      <c r="F25" s="3">
        <v>16</v>
      </c>
      <c r="G25" s="4"/>
      <c r="H25" s="4"/>
      <c r="I25" s="4"/>
      <c r="J25" s="4"/>
    </row>
    <row r="26" spans="1:10">
      <c r="A26" s="2">
        <v>21</v>
      </c>
      <c r="B26" s="2" t="s">
        <v>81</v>
      </c>
      <c r="C26" s="2" t="s">
        <v>82</v>
      </c>
      <c r="D26" s="5"/>
      <c r="E26" s="3">
        <v>2</v>
      </c>
      <c r="F26" s="3">
        <v>8</v>
      </c>
      <c r="G26" s="4">
        <v>25.76</v>
      </c>
      <c r="H26" s="4">
        <v>87.56</v>
      </c>
      <c r="I26" s="4"/>
      <c r="J26" s="4"/>
    </row>
    <row r="27" spans="1:10">
      <c r="A27" s="2">
        <v>22</v>
      </c>
      <c r="B27" s="2" t="s">
        <v>83</v>
      </c>
      <c r="C27" s="2" t="s">
        <v>84</v>
      </c>
      <c r="D27" s="5"/>
      <c r="E27" s="3">
        <v>4</v>
      </c>
      <c r="F27" s="3">
        <v>16</v>
      </c>
      <c r="G27" s="4">
        <v>2.48</v>
      </c>
      <c r="H27" s="4">
        <v>57.57</v>
      </c>
      <c r="I27" s="4">
        <v>6.48</v>
      </c>
      <c r="J27" s="4">
        <v>22.98</v>
      </c>
    </row>
    <row r="28" spans="1:10">
      <c r="A28" s="2">
        <v>23</v>
      </c>
      <c r="B28" s="2" t="s">
        <v>85</v>
      </c>
      <c r="C28" s="2" t="s">
        <v>86</v>
      </c>
      <c r="D28" s="5"/>
      <c r="E28" s="3">
        <v>2</v>
      </c>
      <c r="F28" s="3">
        <v>8</v>
      </c>
      <c r="G28" s="4">
        <v>0.46</v>
      </c>
      <c r="H28" s="4">
        <v>18.690000000000001</v>
      </c>
      <c r="I28" s="4"/>
      <c r="J28" s="4"/>
    </row>
    <row r="29" spans="1:10">
      <c r="A29" s="2">
        <v>24</v>
      </c>
      <c r="B29" s="2" t="s">
        <v>87</v>
      </c>
      <c r="C29" s="2" t="s">
        <v>88</v>
      </c>
      <c r="D29" s="5"/>
      <c r="E29" s="3">
        <v>1</v>
      </c>
      <c r="F29" s="3">
        <v>1</v>
      </c>
      <c r="G29" s="4">
        <v>0.94</v>
      </c>
      <c r="H29" s="4">
        <v>71.67</v>
      </c>
      <c r="I29" s="4"/>
      <c r="J29" s="4"/>
    </row>
    <row r="30" spans="1:10" ht="30">
      <c r="A30" s="2">
        <v>25</v>
      </c>
      <c r="B30" s="2" t="s">
        <v>89</v>
      </c>
      <c r="C30" s="2" t="s">
        <v>90</v>
      </c>
      <c r="D30" s="6" t="s">
        <v>91</v>
      </c>
      <c r="E30" s="3">
        <v>4</v>
      </c>
      <c r="F30" s="3">
        <v>8</v>
      </c>
      <c r="G30" s="4">
        <v>6.1</v>
      </c>
      <c r="H30" s="4">
        <v>48.1</v>
      </c>
      <c r="I30" s="4">
        <v>25.62</v>
      </c>
      <c r="J30" s="4">
        <v>31.15</v>
      </c>
    </row>
    <row r="31" spans="1:10">
      <c r="A31" s="2">
        <v>26</v>
      </c>
      <c r="B31" s="2" t="s">
        <v>92</v>
      </c>
      <c r="C31" s="2" t="s">
        <v>93</v>
      </c>
      <c r="D31" s="5"/>
      <c r="E31" s="3">
        <v>8</v>
      </c>
      <c r="F31" s="3">
        <v>32</v>
      </c>
      <c r="G31" s="4">
        <v>2.95</v>
      </c>
      <c r="H31" s="4">
        <v>100</v>
      </c>
      <c r="I31" s="4"/>
      <c r="J31" s="4"/>
    </row>
    <row r="32" spans="1:10" ht="15">
      <c r="A32" s="2">
        <v>27</v>
      </c>
      <c r="B32" s="2" t="s">
        <v>94</v>
      </c>
      <c r="C32" s="2" t="s">
        <v>95</v>
      </c>
      <c r="D32" s="6" t="s">
        <v>96</v>
      </c>
      <c r="E32" s="3">
        <v>8</v>
      </c>
      <c r="F32" s="3">
        <v>32</v>
      </c>
      <c r="G32" s="4">
        <v>10.15</v>
      </c>
      <c r="H32" s="4">
        <v>82.3</v>
      </c>
      <c r="I32" s="4">
        <v>32.24</v>
      </c>
      <c r="J32" s="4">
        <v>35.57</v>
      </c>
    </row>
    <row r="33" spans="1:10" ht="15">
      <c r="A33" s="2">
        <v>28</v>
      </c>
      <c r="B33" s="2" t="s">
        <v>97</v>
      </c>
      <c r="C33" s="2" t="s">
        <v>98</v>
      </c>
      <c r="D33" s="6" t="s">
        <v>99</v>
      </c>
      <c r="E33" s="3">
        <v>8</v>
      </c>
      <c r="F33" s="3">
        <v>32</v>
      </c>
      <c r="G33" s="4">
        <v>4.58</v>
      </c>
      <c r="H33" s="4">
        <v>82.34</v>
      </c>
      <c r="I33" s="4"/>
      <c r="J33" s="4"/>
    </row>
    <row r="34" spans="1:10">
      <c r="A34" s="2">
        <v>29</v>
      </c>
      <c r="B34" s="2" t="s">
        <v>100</v>
      </c>
      <c r="C34" s="2" t="s">
        <v>101</v>
      </c>
      <c r="D34" s="5"/>
      <c r="E34" s="3">
        <v>2</v>
      </c>
      <c r="F34" s="3">
        <v>1</v>
      </c>
      <c r="G34" s="4">
        <v>0.75</v>
      </c>
      <c r="H34" s="4">
        <v>45</v>
      </c>
      <c r="I34" s="4"/>
      <c r="J34" s="4"/>
    </row>
    <row r="35" spans="1:10" ht="15">
      <c r="A35" s="2">
        <v>30</v>
      </c>
      <c r="B35" s="2" t="s">
        <v>102</v>
      </c>
      <c r="C35" s="2" t="s">
        <v>103</v>
      </c>
      <c r="D35" s="6" t="s">
        <v>104</v>
      </c>
      <c r="E35" s="3">
        <v>8</v>
      </c>
      <c r="F35" s="3">
        <v>32</v>
      </c>
      <c r="G35" s="4">
        <v>7.34</v>
      </c>
      <c r="H35" s="4">
        <v>75.09</v>
      </c>
      <c r="I35" s="4">
        <v>46.92</v>
      </c>
      <c r="J35" s="4">
        <v>57.66</v>
      </c>
    </row>
    <row r="36" spans="1:10" ht="15">
      <c r="A36" s="2">
        <v>31</v>
      </c>
      <c r="B36" s="2" t="s">
        <v>105</v>
      </c>
      <c r="C36" s="2" t="s">
        <v>106</v>
      </c>
      <c r="D36" s="6" t="s">
        <v>107</v>
      </c>
      <c r="E36" s="3">
        <v>16</v>
      </c>
      <c r="F36" s="3">
        <v>64</v>
      </c>
      <c r="G36" s="4">
        <v>2.5499999999999998</v>
      </c>
      <c r="H36" s="4">
        <v>36.39</v>
      </c>
      <c r="I36" s="4">
        <v>34.78</v>
      </c>
      <c r="J36" s="4">
        <v>49.17</v>
      </c>
    </row>
    <row r="37" spans="1:10">
      <c r="A37" s="2">
        <v>32</v>
      </c>
      <c r="B37" s="2" t="s">
        <v>108</v>
      </c>
      <c r="C37" s="2" t="s">
        <v>109</v>
      </c>
      <c r="D37" s="5"/>
      <c r="E37" s="3">
        <v>4</v>
      </c>
      <c r="F37" s="3">
        <v>16</v>
      </c>
      <c r="G37" s="4"/>
      <c r="H37" s="4"/>
      <c r="I37" s="4"/>
      <c r="J37" s="4"/>
    </row>
    <row r="38" spans="1:10">
      <c r="A38" s="2">
        <v>33</v>
      </c>
      <c r="B38" s="2" t="s">
        <v>110</v>
      </c>
      <c r="C38" s="2" t="s">
        <v>111</v>
      </c>
      <c r="D38" s="5"/>
      <c r="E38" s="3">
        <v>4</v>
      </c>
      <c r="F38" s="3">
        <v>16</v>
      </c>
      <c r="G38" s="4">
        <v>0.67</v>
      </c>
      <c r="H38" s="4">
        <v>34.130000000000003</v>
      </c>
      <c r="I38" s="4">
        <v>45.16</v>
      </c>
      <c r="J38" s="4">
        <v>46.45</v>
      </c>
    </row>
    <row r="39" spans="1:10" ht="15">
      <c r="A39" s="2">
        <v>34</v>
      </c>
      <c r="B39" s="2" t="s">
        <v>112</v>
      </c>
      <c r="C39" s="2" t="s">
        <v>113</v>
      </c>
      <c r="D39" s="6" t="s">
        <v>114</v>
      </c>
      <c r="E39" s="3">
        <v>4</v>
      </c>
      <c r="F39" s="3">
        <v>16</v>
      </c>
      <c r="G39" s="4">
        <v>23.76</v>
      </c>
      <c r="H39" s="4">
        <v>97.26</v>
      </c>
      <c r="I39" s="4">
        <v>25.83</v>
      </c>
      <c r="J39" s="4">
        <v>70.06</v>
      </c>
    </row>
    <row r="40" spans="1:10">
      <c r="A40" s="2">
        <v>35</v>
      </c>
      <c r="B40" s="2" t="s">
        <v>115</v>
      </c>
      <c r="C40" s="2" t="s">
        <v>116</v>
      </c>
      <c r="D40" s="5"/>
      <c r="E40" s="3">
        <v>2</v>
      </c>
      <c r="F40" s="3">
        <v>2</v>
      </c>
      <c r="G40" s="4">
        <v>0.55000000000000004</v>
      </c>
      <c r="H40" s="4">
        <v>16.03</v>
      </c>
      <c r="I40" s="4">
        <v>10.33</v>
      </c>
      <c r="J40" s="4">
        <v>11.71</v>
      </c>
    </row>
    <row r="41" spans="1:10">
      <c r="A41" s="2">
        <v>36</v>
      </c>
      <c r="B41" s="2" t="s">
        <v>117</v>
      </c>
      <c r="C41" s="2" t="s">
        <v>118</v>
      </c>
      <c r="D41" s="5"/>
      <c r="E41" s="3">
        <v>2</v>
      </c>
      <c r="F41" s="3">
        <v>4</v>
      </c>
      <c r="G41" s="4">
        <v>1.75</v>
      </c>
      <c r="H41" s="4">
        <v>53.19</v>
      </c>
      <c r="I41" s="4"/>
      <c r="J41" s="4"/>
    </row>
    <row r="42" spans="1:10" ht="15">
      <c r="A42" s="2">
        <v>37</v>
      </c>
      <c r="B42" s="2" t="s">
        <v>119</v>
      </c>
      <c r="C42" s="2" t="s">
        <v>120</v>
      </c>
      <c r="D42" s="6" t="s">
        <v>121</v>
      </c>
      <c r="E42" s="3">
        <v>8</v>
      </c>
      <c r="F42" s="3">
        <v>32</v>
      </c>
      <c r="G42" s="4">
        <v>3.73</v>
      </c>
      <c r="H42" s="4">
        <v>47.59</v>
      </c>
      <c r="I42" s="4">
        <v>23.04</v>
      </c>
      <c r="J42" s="4">
        <v>24.34</v>
      </c>
    </row>
    <row r="43" spans="1:10">
      <c r="A43" s="2">
        <v>38</v>
      </c>
      <c r="B43" s="2" t="s">
        <v>122</v>
      </c>
      <c r="C43" s="2" t="s">
        <v>123</v>
      </c>
      <c r="D43" s="5"/>
      <c r="E43" s="3">
        <v>4</v>
      </c>
      <c r="F43" s="3">
        <v>16</v>
      </c>
      <c r="G43" s="4">
        <v>19.91</v>
      </c>
      <c r="H43" s="4">
        <v>99.93</v>
      </c>
      <c r="I43" s="4"/>
      <c r="J43" s="4"/>
    </row>
    <row r="44" spans="1:10">
      <c r="A44" s="2">
        <v>39</v>
      </c>
      <c r="B44" s="2" t="s">
        <v>124</v>
      </c>
      <c r="C44" s="2" t="s">
        <v>125</v>
      </c>
      <c r="D44" s="5"/>
      <c r="E44" s="3">
        <v>8</v>
      </c>
      <c r="F44" s="3">
        <v>32</v>
      </c>
      <c r="G44" s="4">
        <v>7.64</v>
      </c>
      <c r="H44" s="4">
        <v>100</v>
      </c>
      <c r="I44" s="4">
        <v>55.73</v>
      </c>
      <c r="J44" s="4">
        <v>96.5</v>
      </c>
    </row>
    <row r="45" spans="1:10">
      <c r="A45" s="2">
        <v>40</v>
      </c>
      <c r="B45" s="2" t="s">
        <v>126</v>
      </c>
      <c r="C45" s="2" t="s">
        <v>127</v>
      </c>
      <c r="D45" s="5"/>
      <c r="E45" s="3">
        <v>2</v>
      </c>
      <c r="F45" s="3">
        <v>4</v>
      </c>
      <c r="G45" s="4">
        <v>2.98</v>
      </c>
      <c r="H45" s="4">
        <v>19.59</v>
      </c>
      <c r="I45" s="4">
        <v>53.73</v>
      </c>
      <c r="J45" s="4">
        <v>55.73</v>
      </c>
    </row>
    <row r="46" spans="1:10">
      <c r="A46" s="2">
        <v>41</v>
      </c>
      <c r="B46" s="2" t="s">
        <v>128</v>
      </c>
      <c r="C46" s="2" t="s">
        <v>129</v>
      </c>
      <c r="D46" s="5"/>
      <c r="E46" s="3">
        <v>4</v>
      </c>
      <c r="F46" s="3">
        <v>8</v>
      </c>
      <c r="G46" s="4">
        <v>4.13</v>
      </c>
      <c r="H46" s="4">
        <v>55.73</v>
      </c>
      <c r="I46" s="4"/>
      <c r="J46" s="4"/>
    </row>
    <row r="47" spans="1:10">
      <c r="A47" s="2">
        <v>42</v>
      </c>
      <c r="B47" s="2" t="s">
        <v>130</v>
      </c>
      <c r="C47" s="2" t="s">
        <v>131</v>
      </c>
      <c r="D47" s="5"/>
      <c r="E47" s="3">
        <v>4</v>
      </c>
      <c r="F47" s="3">
        <v>16</v>
      </c>
      <c r="G47" s="4">
        <v>55.78</v>
      </c>
      <c r="H47" s="4">
        <v>100</v>
      </c>
      <c r="I47" s="4"/>
      <c r="J47" s="4"/>
    </row>
    <row r="48" spans="1:10">
      <c r="A48" s="2">
        <v>43</v>
      </c>
      <c r="B48" s="2" t="s">
        <v>132</v>
      </c>
      <c r="C48" s="2" t="s">
        <v>133</v>
      </c>
      <c r="D48" s="5"/>
      <c r="E48" s="3">
        <v>4</v>
      </c>
      <c r="F48" s="3">
        <v>16</v>
      </c>
      <c r="G48" s="4">
        <v>9.39</v>
      </c>
      <c r="H48" s="4">
        <v>100</v>
      </c>
      <c r="I48" s="4"/>
      <c r="J48" s="4"/>
    </row>
    <row r="49" spans="1:10" ht="30">
      <c r="A49" s="2">
        <v>44</v>
      </c>
      <c r="B49" s="2" t="s">
        <v>134</v>
      </c>
      <c r="C49" s="2" t="s">
        <v>135</v>
      </c>
      <c r="D49" s="6" t="s">
        <v>91</v>
      </c>
      <c r="E49" s="3">
        <v>4</v>
      </c>
      <c r="F49" s="3">
        <v>8</v>
      </c>
      <c r="G49" s="4">
        <v>7.39</v>
      </c>
      <c r="H49" s="4">
        <v>29.62</v>
      </c>
      <c r="I49" s="4">
        <v>26</v>
      </c>
      <c r="J49" s="4">
        <v>32.61</v>
      </c>
    </row>
    <row r="50" spans="1:10">
      <c r="A50" s="2">
        <v>45</v>
      </c>
      <c r="B50" s="2" t="s">
        <v>136</v>
      </c>
      <c r="C50" s="2" t="s">
        <v>137</v>
      </c>
      <c r="D50" s="5"/>
      <c r="E50" s="3">
        <v>2</v>
      </c>
      <c r="F50" s="3">
        <v>8</v>
      </c>
      <c r="G50" s="4">
        <v>2.87</v>
      </c>
      <c r="H50" s="4">
        <v>97.05</v>
      </c>
      <c r="I50" s="4">
        <v>55.86</v>
      </c>
      <c r="J50" s="4">
        <v>79.98</v>
      </c>
    </row>
    <row r="51" spans="1:10">
      <c r="A51" s="2">
        <v>46</v>
      </c>
      <c r="B51" s="2" t="s">
        <v>138</v>
      </c>
      <c r="C51" s="2" t="s">
        <v>139</v>
      </c>
      <c r="D51" s="5"/>
      <c r="E51" s="3">
        <v>2</v>
      </c>
      <c r="F51" s="3">
        <v>4</v>
      </c>
      <c r="G51" s="4">
        <v>8</v>
      </c>
      <c r="H51" s="4">
        <v>23.89</v>
      </c>
      <c r="I51" s="4">
        <v>68.03</v>
      </c>
      <c r="J51" s="4">
        <v>70.709999999999994</v>
      </c>
    </row>
    <row r="52" spans="1:10">
      <c r="A52" s="2">
        <v>47</v>
      </c>
      <c r="B52" s="2" t="s">
        <v>140</v>
      </c>
      <c r="C52" s="2" t="s">
        <v>141</v>
      </c>
      <c r="D52" s="5"/>
      <c r="E52" s="3">
        <v>4</v>
      </c>
      <c r="F52" s="3">
        <v>16</v>
      </c>
      <c r="G52" s="4">
        <v>47.47</v>
      </c>
      <c r="H52" s="4">
        <v>89.01</v>
      </c>
      <c r="I52" s="4">
        <v>65.989999999999995</v>
      </c>
      <c r="J52" s="4">
        <v>88.1</v>
      </c>
    </row>
    <row r="53" spans="1:10">
      <c r="A53" s="2">
        <v>48</v>
      </c>
      <c r="B53" s="2" t="s">
        <v>142</v>
      </c>
      <c r="C53" s="2" t="s">
        <v>143</v>
      </c>
      <c r="D53" s="5"/>
      <c r="E53" s="3">
        <v>4</v>
      </c>
      <c r="F53" s="3">
        <v>16</v>
      </c>
      <c r="G53" s="4">
        <v>4</v>
      </c>
      <c r="H53" s="4">
        <v>11.06</v>
      </c>
      <c r="I53" s="4"/>
      <c r="J53" s="4"/>
    </row>
    <row r="54" spans="1:10">
      <c r="A54" s="2">
        <v>49</v>
      </c>
      <c r="B54" s="2" t="s">
        <v>144</v>
      </c>
      <c r="C54" s="2" t="s">
        <v>145</v>
      </c>
      <c r="D54" s="5"/>
      <c r="E54" s="3">
        <v>2</v>
      </c>
      <c r="F54" s="3">
        <v>4</v>
      </c>
      <c r="G54" s="4">
        <v>3.98</v>
      </c>
      <c r="H54" s="4">
        <v>59.75</v>
      </c>
      <c r="I54" s="4"/>
      <c r="J54" s="4"/>
    </row>
    <row r="55" spans="1:10">
      <c r="A55" s="2">
        <v>50</v>
      </c>
      <c r="B55" s="2" t="s">
        <v>146</v>
      </c>
      <c r="C55" s="2" t="s">
        <v>147</v>
      </c>
      <c r="D55" s="5"/>
      <c r="E55" s="3">
        <v>8</v>
      </c>
      <c r="F55" s="3">
        <v>32</v>
      </c>
      <c r="G55" s="4">
        <v>3.93</v>
      </c>
      <c r="H55" s="4">
        <v>70.959999999999994</v>
      </c>
      <c r="I55" s="4"/>
      <c r="J55" s="4"/>
    </row>
    <row r="56" spans="1:10">
      <c r="A56" s="2">
        <v>51</v>
      </c>
      <c r="B56" s="2" t="s">
        <v>148</v>
      </c>
      <c r="C56" s="2" t="s">
        <v>149</v>
      </c>
      <c r="D56" s="5"/>
      <c r="E56" s="3">
        <v>8</v>
      </c>
      <c r="F56" s="3">
        <v>32</v>
      </c>
      <c r="G56" s="4">
        <v>2.96</v>
      </c>
      <c r="H56" s="4">
        <v>61.9</v>
      </c>
      <c r="I56" s="4">
        <v>33.14</v>
      </c>
      <c r="J56" s="4">
        <v>34.96</v>
      </c>
    </row>
    <row r="57" spans="1:10">
      <c r="A57" s="2">
        <v>52</v>
      </c>
      <c r="B57" s="2" t="s">
        <v>150</v>
      </c>
      <c r="C57" s="2" t="s">
        <v>151</v>
      </c>
      <c r="D57" s="5"/>
      <c r="E57" s="3">
        <v>8</v>
      </c>
      <c r="F57" s="3">
        <v>32</v>
      </c>
      <c r="G57" s="4">
        <v>16</v>
      </c>
      <c r="H57" s="4">
        <v>66.5</v>
      </c>
      <c r="I57" s="4"/>
      <c r="J57" s="4"/>
    </row>
    <row r="58" spans="1:10">
      <c r="A58" s="2">
        <v>53</v>
      </c>
      <c r="B58" s="2" t="s">
        <v>152</v>
      </c>
      <c r="C58" s="2" t="s">
        <v>153</v>
      </c>
      <c r="D58" s="5"/>
      <c r="E58" s="3">
        <v>8</v>
      </c>
      <c r="F58" s="3">
        <v>32</v>
      </c>
      <c r="G58" s="4">
        <v>12.95</v>
      </c>
      <c r="H58" s="4">
        <v>99.84</v>
      </c>
      <c r="I58" s="4"/>
      <c r="J58" s="4"/>
    </row>
    <row r="59" spans="1:10">
      <c r="A59" s="2">
        <v>54</v>
      </c>
      <c r="B59" s="2" t="s">
        <v>154</v>
      </c>
      <c r="C59" s="2" t="s">
        <v>155</v>
      </c>
      <c r="D59" s="5"/>
      <c r="E59" s="3">
        <v>8</v>
      </c>
      <c r="F59" s="3">
        <v>32</v>
      </c>
      <c r="G59" s="4">
        <v>2.2599999999999998</v>
      </c>
      <c r="H59" s="4">
        <v>98.84</v>
      </c>
      <c r="I59" s="4">
        <v>76.5</v>
      </c>
      <c r="J59" s="4">
        <v>98.79</v>
      </c>
    </row>
    <row r="60" spans="1:10">
      <c r="A60" s="2">
        <v>55</v>
      </c>
      <c r="B60" s="2" t="s">
        <v>156</v>
      </c>
      <c r="C60" s="2" t="s">
        <v>157</v>
      </c>
      <c r="D60" s="5"/>
      <c r="E60" s="3">
        <v>8</v>
      </c>
      <c r="F60" s="3">
        <v>32</v>
      </c>
      <c r="G60" s="4">
        <v>5.72</v>
      </c>
      <c r="H60" s="4">
        <v>44.53</v>
      </c>
      <c r="I60" s="4"/>
      <c r="J60" s="4"/>
    </row>
    <row r="61" spans="1:10">
      <c r="A61" s="2">
        <v>56</v>
      </c>
      <c r="B61" s="2" t="s">
        <v>158</v>
      </c>
      <c r="C61" s="2" t="s">
        <v>159</v>
      </c>
      <c r="D61" s="5"/>
      <c r="E61" s="3">
        <v>2</v>
      </c>
      <c r="F61" s="3">
        <v>2</v>
      </c>
      <c r="G61" s="4">
        <v>0.55000000000000004</v>
      </c>
      <c r="H61" s="4">
        <v>17.03</v>
      </c>
      <c r="I61" s="4">
        <v>9.52</v>
      </c>
      <c r="J61" s="4">
        <v>10.57</v>
      </c>
    </row>
    <row r="62" spans="1:10">
      <c r="A62" s="2">
        <v>57</v>
      </c>
      <c r="B62" s="2" t="s">
        <v>160</v>
      </c>
      <c r="C62" s="2" t="s">
        <v>161</v>
      </c>
      <c r="D62" s="5"/>
      <c r="E62" s="3">
        <v>8</v>
      </c>
      <c r="F62" s="3">
        <v>32</v>
      </c>
      <c r="G62" s="4">
        <v>6.27</v>
      </c>
      <c r="H62" s="4">
        <v>30.49</v>
      </c>
      <c r="I62" s="4">
        <v>3.96</v>
      </c>
      <c r="J62" s="4">
        <v>11.01</v>
      </c>
    </row>
    <row r="63" spans="1:10" ht="15">
      <c r="A63" s="2">
        <v>58</v>
      </c>
      <c r="B63" s="2" t="s">
        <v>162</v>
      </c>
      <c r="C63" s="2" t="s">
        <v>163</v>
      </c>
      <c r="D63" s="6" t="s">
        <v>164</v>
      </c>
      <c r="E63" s="3">
        <v>4</v>
      </c>
      <c r="F63" s="3">
        <v>16</v>
      </c>
      <c r="G63" s="4">
        <v>8.5399999999999991</v>
      </c>
      <c r="H63" s="4">
        <v>81.33</v>
      </c>
      <c r="I63" s="4">
        <v>41.13</v>
      </c>
      <c r="J63" s="4">
        <v>43.91</v>
      </c>
    </row>
    <row r="64" spans="1:10">
      <c r="A64" s="2">
        <v>59</v>
      </c>
      <c r="B64" s="2" t="s">
        <v>165</v>
      </c>
      <c r="C64" s="2" t="s">
        <v>166</v>
      </c>
      <c r="D64" s="5"/>
      <c r="E64" s="3">
        <v>2</v>
      </c>
      <c r="F64" s="3">
        <v>8</v>
      </c>
      <c r="G64" s="4">
        <v>2.3199999999999998</v>
      </c>
      <c r="H64" s="4">
        <v>97.26</v>
      </c>
      <c r="I64" s="4">
        <v>36.1</v>
      </c>
      <c r="J64" s="4">
        <v>60.97</v>
      </c>
    </row>
    <row r="65" spans="1:10">
      <c r="A65" s="2">
        <v>60</v>
      </c>
      <c r="B65" s="2" t="s">
        <v>167</v>
      </c>
      <c r="C65" s="2" t="s">
        <v>168</v>
      </c>
      <c r="D65" s="5"/>
      <c r="E65" s="3">
        <v>4</v>
      </c>
      <c r="F65" s="3">
        <v>16</v>
      </c>
      <c r="G65" s="4">
        <v>3.19</v>
      </c>
      <c r="H65" s="4">
        <v>38.78</v>
      </c>
      <c r="I65" s="4"/>
      <c r="J65" s="4"/>
    </row>
    <row r="66" spans="1:10">
      <c r="A66" s="2">
        <v>61</v>
      </c>
      <c r="B66" s="2" t="s">
        <v>169</v>
      </c>
      <c r="C66" s="2" t="s">
        <v>170</v>
      </c>
      <c r="D66" s="5"/>
      <c r="E66" s="3">
        <v>4</v>
      </c>
      <c r="F66" s="3">
        <v>16</v>
      </c>
      <c r="G66" s="4">
        <v>5.42</v>
      </c>
      <c r="H66" s="4">
        <v>21.73</v>
      </c>
      <c r="I66" s="4">
        <v>50.16</v>
      </c>
      <c r="J66" s="4">
        <v>50.59</v>
      </c>
    </row>
    <row r="67" spans="1:10">
      <c r="A67" s="2">
        <v>62</v>
      </c>
      <c r="B67" s="2" t="s">
        <v>171</v>
      </c>
      <c r="C67" s="2" t="s">
        <v>172</v>
      </c>
      <c r="D67" s="5"/>
      <c r="E67" s="3">
        <v>8</v>
      </c>
      <c r="F67" s="3">
        <v>32</v>
      </c>
      <c r="G67" s="4">
        <v>3.53</v>
      </c>
      <c r="H67" s="4">
        <v>16.29</v>
      </c>
      <c r="I67" s="4">
        <v>53.43</v>
      </c>
      <c r="J67" s="4">
        <v>54.56</v>
      </c>
    </row>
    <row r="68" spans="1:10">
      <c r="A68" s="2">
        <v>63</v>
      </c>
      <c r="B68" s="2" t="s">
        <v>173</v>
      </c>
      <c r="C68" s="2" t="s">
        <v>174</v>
      </c>
      <c r="D68" s="5"/>
      <c r="E68" s="3">
        <v>4</v>
      </c>
      <c r="F68" s="3">
        <v>16</v>
      </c>
      <c r="G68" s="4"/>
      <c r="H68" s="4"/>
      <c r="I68" s="4"/>
      <c r="J68" s="4"/>
    </row>
    <row r="69" spans="1:10">
      <c r="A69" s="2">
        <v>64</v>
      </c>
      <c r="B69" s="2" t="s">
        <v>175</v>
      </c>
      <c r="C69" s="2" t="s">
        <v>176</v>
      </c>
      <c r="D69" s="5"/>
      <c r="E69" s="3">
        <v>2</v>
      </c>
      <c r="F69" s="3">
        <v>8</v>
      </c>
      <c r="G69" s="4">
        <v>1.29</v>
      </c>
      <c r="H69" s="4">
        <v>99.97</v>
      </c>
      <c r="I69" s="4"/>
      <c r="J69" s="4"/>
    </row>
    <row r="70" spans="1:10">
      <c r="A70" s="2">
        <v>65</v>
      </c>
      <c r="B70" s="2" t="s">
        <v>177</v>
      </c>
      <c r="C70" s="2" t="s">
        <v>178</v>
      </c>
      <c r="D70" s="5"/>
      <c r="E70" s="3">
        <v>8</v>
      </c>
      <c r="F70" s="3">
        <v>32</v>
      </c>
      <c r="G70" s="4">
        <v>7.33</v>
      </c>
      <c r="H70" s="4">
        <v>100</v>
      </c>
      <c r="I70" s="4">
        <v>49.43</v>
      </c>
      <c r="J70" s="4">
        <v>89.97</v>
      </c>
    </row>
    <row r="71" spans="1:10" ht="15">
      <c r="A71" s="2">
        <v>66</v>
      </c>
      <c r="B71" s="2" t="s">
        <v>179</v>
      </c>
      <c r="C71" s="2" t="s">
        <v>180</v>
      </c>
      <c r="D71" s="6" t="s">
        <v>181</v>
      </c>
      <c r="E71" s="3">
        <v>4</v>
      </c>
      <c r="F71" s="3">
        <v>16</v>
      </c>
      <c r="G71" s="4">
        <v>8.0299999999999994</v>
      </c>
      <c r="H71" s="4">
        <v>73.27</v>
      </c>
      <c r="I71" s="4"/>
      <c r="J71" s="4"/>
    </row>
    <row r="72" spans="1:10" ht="15">
      <c r="A72" s="2">
        <v>67</v>
      </c>
      <c r="B72" s="2" t="s">
        <v>182</v>
      </c>
      <c r="C72" s="2" t="s">
        <v>183</v>
      </c>
      <c r="D72" s="6" t="s">
        <v>121</v>
      </c>
      <c r="E72" s="3">
        <v>8</v>
      </c>
      <c r="F72" s="3">
        <v>32</v>
      </c>
      <c r="G72" s="4">
        <v>3.99</v>
      </c>
      <c r="H72" s="4">
        <v>28.75</v>
      </c>
      <c r="I72" s="4">
        <v>74.12</v>
      </c>
      <c r="J72" s="4">
        <v>89.1</v>
      </c>
    </row>
    <row r="73" spans="1:10">
      <c r="A73" s="2">
        <v>68</v>
      </c>
      <c r="B73" s="2" t="s">
        <v>184</v>
      </c>
      <c r="C73" s="2" t="s">
        <v>185</v>
      </c>
      <c r="D73" s="5"/>
      <c r="E73" s="3">
        <v>8</v>
      </c>
      <c r="F73" s="3">
        <v>64</v>
      </c>
      <c r="G73" s="4">
        <v>1.85</v>
      </c>
      <c r="H73" s="4">
        <v>100</v>
      </c>
      <c r="I73" s="4">
        <v>37.86</v>
      </c>
      <c r="J73" s="4">
        <v>66.27</v>
      </c>
    </row>
    <row r="74" spans="1:10">
      <c r="A74" s="2">
        <v>69</v>
      </c>
      <c r="B74" s="2" t="s">
        <v>186</v>
      </c>
      <c r="C74" s="2" t="s">
        <v>187</v>
      </c>
      <c r="D74" s="5"/>
      <c r="E74" s="3">
        <v>4</v>
      </c>
      <c r="F74" s="3">
        <v>16</v>
      </c>
      <c r="G74" s="4"/>
      <c r="H74" s="4"/>
      <c r="I74" s="4"/>
      <c r="J74" s="4"/>
    </row>
    <row r="75" spans="1:10" ht="15">
      <c r="A75" s="2">
        <v>70</v>
      </c>
      <c r="B75" s="2" t="s">
        <v>188</v>
      </c>
      <c r="C75" s="2" t="s">
        <v>189</v>
      </c>
      <c r="D75" s="6" t="s">
        <v>76</v>
      </c>
      <c r="E75" s="3">
        <v>4</v>
      </c>
      <c r="F75" s="3">
        <v>16</v>
      </c>
      <c r="G75" s="4">
        <v>29.06</v>
      </c>
      <c r="H75" s="4">
        <v>63.34</v>
      </c>
      <c r="I75" s="4">
        <v>66.010000000000005</v>
      </c>
      <c r="J75" s="4">
        <v>72.62</v>
      </c>
    </row>
    <row r="76" spans="1:10">
      <c r="A76" s="2">
        <v>71</v>
      </c>
      <c r="B76" s="2" t="s">
        <v>190</v>
      </c>
      <c r="C76" s="2" t="s">
        <v>191</v>
      </c>
      <c r="D76" s="5"/>
      <c r="E76" s="3">
        <v>8</v>
      </c>
      <c r="F76" s="3">
        <v>32</v>
      </c>
      <c r="G76" s="4">
        <v>1.25</v>
      </c>
      <c r="H76" s="4">
        <v>29.03</v>
      </c>
      <c r="I76" s="4"/>
      <c r="J76" s="4"/>
    </row>
  </sheetData>
  <mergeCells count="2">
    <mergeCell ref="A1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opLeftCell="B1" zoomScale="90" zoomScaleNormal="90" workbookViewId="0">
      <selection activeCell="B18" sqref="A18:XFD18"/>
    </sheetView>
  </sheetViews>
  <sheetFormatPr defaultRowHeight="14.25"/>
  <cols>
    <col min="1" max="1" width="6" customWidth="1"/>
    <col min="2" max="2" width="48" customWidth="1"/>
    <col min="3" max="3" width="18" customWidth="1"/>
    <col min="4" max="4" width="38" customWidth="1"/>
    <col min="5" max="6" width="19" customWidth="1"/>
    <col min="7" max="10" width="15" customWidth="1"/>
  </cols>
  <sheetData>
    <row r="1" spans="1:10">
      <c r="A1" s="15" t="s">
        <v>192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>
      <c r="A3" s="16" t="s">
        <v>193</v>
      </c>
      <c r="B3" s="16"/>
      <c r="C3" s="16"/>
      <c r="D3" s="16"/>
      <c r="E3" s="16"/>
      <c r="F3" s="16"/>
      <c r="G3" s="16"/>
      <c r="H3" s="16"/>
      <c r="I3" s="16"/>
      <c r="J3" s="16"/>
    </row>
    <row r="5" spans="1:10" ht="30">
      <c r="A5" s="1" t="s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</row>
    <row r="6" spans="1:10" ht="15">
      <c r="A6" s="2">
        <v>1</v>
      </c>
      <c r="B6" s="2" t="s">
        <v>38</v>
      </c>
      <c r="C6" s="2" t="s">
        <v>39</v>
      </c>
      <c r="D6" s="6" t="s">
        <v>40</v>
      </c>
      <c r="E6" s="3">
        <v>8</v>
      </c>
      <c r="F6" s="3">
        <v>32</v>
      </c>
      <c r="G6" s="4">
        <v>4.26</v>
      </c>
      <c r="H6" s="4">
        <v>24.6</v>
      </c>
      <c r="I6" s="4">
        <v>15.84</v>
      </c>
      <c r="J6" s="4">
        <v>20.3</v>
      </c>
    </row>
    <row r="7" spans="1:10">
      <c r="A7" s="2">
        <v>2</v>
      </c>
      <c r="B7" s="2" t="s">
        <v>41</v>
      </c>
      <c r="C7" s="2" t="s">
        <v>42</v>
      </c>
      <c r="D7" s="5"/>
      <c r="E7" s="3">
        <v>4</v>
      </c>
      <c r="F7" s="3">
        <v>32</v>
      </c>
      <c r="G7" s="4">
        <v>1.69</v>
      </c>
      <c r="H7" s="4">
        <v>66.28</v>
      </c>
      <c r="I7" s="4">
        <v>22.39</v>
      </c>
      <c r="J7" s="4">
        <v>41.27</v>
      </c>
    </row>
    <row r="8" spans="1:10">
      <c r="A8" s="2">
        <v>3</v>
      </c>
      <c r="B8" s="2" t="s">
        <v>45</v>
      </c>
      <c r="C8" s="2" t="s">
        <v>46</v>
      </c>
      <c r="D8" s="5"/>
      <c r="E8" s="3">
        <v>2</v>
      </c>
      <c r="F8" s="3">
        <v>2</v>
      </c>
      <c r="G8" s="4">
        <v>1.01</v>
      </c>
      <c r="H8" s="4">
        <v>20.43</v>
      </c>
      <c r="I8" s="4">
        <v>10.58</v>
      </c>
      <c r="J8" s="4">
        <v>11.69</v>
      </c>
    </row>
    <row r="9" spans="1:10">
      <c r="A9" s="2">
        <v>4</v>
      </c>
      <c r="B9" s="2" t="s">
        <v>47</v>
      </c>
      <c r="C9" s="2" t="s">
        <v>48</v>
      </c>
      <c r="D9" s="5"/>
      <c r="E9" s="3">
        <v>1</v>
      </c>
      <c r="F9" s="3">
        <v>1</v>
      </c>
      <c r="G9" s="4">
        <v>0.97</v>
      </c>
      <c r="H9" s="4">
        <v>64.94</v>
      </c>
      <c r="I9" s="4"/>
      <c r="J9" s="4"/>
    </row>
    <row r="10" spans="1:10">
      <c r="A10" s="2">
        <v>5</v>
      </c>
      <c r="B10" s="2" t="s">
        <v>49</v>
      </c>
      <c r="C10" s="2" t="s">
        <v>50</v>
      </c>
      <c r="D10" s="5"/>
      <c r="E10" s="3">
        <v>2</v>
      </c>
      <c r="F10" s="3">
        <v>2</v>
      </c>
      <c r="G10" s="4">
        <v>1.19</v>
      </c>
      <c r="H10" s="4">
        <v>15.72</v>
      </c>
      <c r="I10" s="4">
        <v>11.53</v>
      </c>
      <c r="J10" s="4">
        <v>16.68</v>
      </c>
    </row>
    <row r="11" spans="1:10">
      <c r="A11" s="2">
        <v>6</v>
      </c>
      <c r="B11" s="2" t="s">
        <v>51</v>
      </c>
      <c r="C11" s="2" t="s">
        <v>52</v>
      </c>
      <c r="D11" s="5"/>
      <c r="E11" s="3">
        <v>2</v>
      </c>
      <c r="F11" s="3">
        <v>8</v>
      </c>
      <c r="G11" s="4">
        <v>1.21</v>
      </c>
      <c r="H11" s="4">
        <v>63.07</v>
      </c>
      <c r="I11" s="4"/>
      <c r="J11" s="4"/>
    </row>
    <row r="12" spans="1:10">
      <c r="A12" s="2">
        <v>7</v>
      </c>
      <c r="B12" s="2" t="s">
        <v>53</v>
      </c>
      <c r="C12" s="2" t="s">
        <v>54</v>
      </c>
      <c r="D12" s="5"/>
      <c r="E12" s="3">
        <v>4</v>
      </c>
      <c r="F12" s="3">
        <v>16</v>
      </c>
      <c r="G12" s="4">
        <v>1.33</v>
      </c>
      <c r="H12" s="4">
        <v>97.95</v>
      </c>
      <c r="I12" s="4">
        <v>62.13</v>
      </c>
      <c r="J12" s="4">
        <v>77.38</v>
      </c>
    </row>
    <row r="13" spans="1:10">
      <c r="A13" s="2">
        <v>8</v>
      </c>
      <c r="B13" s="2" t="s">
        <v>58</v>
      </c>
      <c r="C13" s="2" t="s">
        <v>59</v>
      </c>
      <c r="D13" s="5"/>
      <c r="E13" s="3">
        <v>2</v>
      </c>
      <c r="F13" s="3">
        <v>1</v>
      </c>
      <c r="G13" s="4">
        <v>0.61</v>
      </c>
      <c r="H13" s="4">
        <v>15.28</v>
      </c>
      <c r="I13" s="4">
        <v>23.89</v>
      </c>
      <c r="J13" s="4">
        <v>33.770000000000003</v>
      </c>
    </row>
    <row r="14" spans="1:10">
      <c r="A14" s="2">
        <v>9</v>
      </c>
      <c r="B14" s="2" t="s">
        <v>60</v>
      </c>
      <c r="C14" s="2" t="s">
        <v>61</v>
      </c>
      <c r="D14" s="5"/>
      <c r="E14" s="3">
        <v>4</v>
      </c>
      <c r="F14" s="3">
        <v>16</v>
      </c>
      <c r="G14" s="4">
        <v>0.5</v>
      </c>
      <c r="H14" s="4">
        <v>14.71</v>
      </c>
      <c r="I14" s="4">
        <v>3.55</v>
      </c>
      <c r="J14" s="4">
        <v>4.2699999999999996</v>
      </c>
    </row>
    <row r="15" spans="1:10">
      <c r="A15" s="2">
        <v>10</v>
      </c>
      <c r="B15" s="2" t="s">
        <v>65</v>
      </c>
      <c r="C15" s="2" t="s">
        <v>66</v>
      </c>
      <c r="D15" s="5"/>
      <c r="E15" s="3">
        <v>8</v>
      </c>
      <c r="F15" s="3">
        <v>32</v>
      </c>
      <c r="G15" s="4">
        <v>3.75</v>
      </c>
      <c r="H15" s="4">
        <v>53.28</v>
      </c>
      <c r="I15" s="4">
        <v>26.99</v>
      </c>
      <c r="J15" s="4">
        <v>28.18</v>
      </c>
    </row>
    <row r="16" spans="1:10">
      <c r="A16" s="2">
        <v>11</v>
      </c>
      <c r="B16" s="2" t="s">
        <v>67</v>
      </c>
      <c r="C16" s="2" t="s">
        <v>68</v>
      </c>
      <c r="D16" s="5"/>
      <c r="E16" s="3">
        <v>4</v>
      </c>
      <c r="F16" s="3">
        <v>16</v>
      </c>
      <c r="G16" s="4">
        <v>0.42</v>
      </c>
      <c r="H16" s="4">
        <v>9.73</v>
      </c>
      <c r="I16" s="4"/>
      <c r="J16" s="4"/>
    </row>
    <row r="17" spans="1:10">
      <c r="A17" s="2">
        <v>12</v>
      </c>
      <c r="B17" s="2" t="s">
        <v>69</v>
      </c>
      <c r="C17" s="2" t="s">
        <v>70</v>
      </c>
      <c r="D17" s="5"/>
      <c r="E17" s="3">
        <v>4</v>
      </c>
      <c r="F17" s="3">
        <v>16</v>
      </c>
      <c r="G17" s="4">
        <v>0.39</v>
      </c>
      <c r="H17" s="4">
        <v>56.63</v>
      </c>
      <c r="I17" s="4"/>
      <c r="J17" s="4"/>
    </row>
    <row r="18" spans="1:10" ht="15">
      <c r="A18" s="2">
        <v>13</v>
      </c>
      <c r="B18" s="2" t="s">
        <v>71</v>
      </c>
      <c r="C18" s="2" t="s">
        <v>72</v>
      </c>
      <c r="D18" s="6" t="s">
        <v>73</v>
      </c>
      <c r="E18" s="3">
        <v>8</v>
      </c>
      <c r="F18" s="3">
        <v>32</v>
      </c>
      <c r="G18" s="4">
        <v>4.4000000000000004</v>
      </c>
      <c r="H18" s="4">
        <v>27.41</v>
      </c>
      <c r="I18" s="4">
        <v>10.16</v>
      </c>
      <c r="J18" s="4">
        <v>12.97</v>
      </c>
    </row>
    <row r="19" spans="1:10">
      <c r="A19" s="2">
        <v>14</v>
      </c>
      <c r="B19" s="2" t="s">
        <v>83</v>
      </c>
      <c r="C19" s="2" t="s">
        <v>84</v>
      </c>
      <c r="D19" s="5"/>
      <c r="E19" s="3">
        <v>4</v>
      </c>
      <c r="F19" s="3">
        <v>16</v>
      </c>
      <c r="G19" s="4">
        <v>2.48</v>
      </c>
      <c r="H19" s="4">
        <v>57.57</v>
      </c>
      <c r="I19" s="4">
        <v>6.48</v>
      </c>
      <c r="J19" s="4">
        <v>22.98</v>
      </c>
    </row>
    <row r="20" spans="1:10">
      <c r="A20" s="2">
        <v>15</v>
      </c>
      <c r="B20" s="2" t="s">
        <v>85</v>
      </c>
      <c r="C20" s="2" t="s">
        <v>86</v>
      </c>
      <c r="D20" s="5"/>
      <c r="E20" s="3">
        <v>2</v>
      </c>
      <c r="F20" s="3">
        <v>8</v>
      </c>
      <c r="G20" s="4">
        <v>0.46</v>
      </c>
      <c r="H20" s="4">
        <v>18.690000000000001</v>
      </c>
      <c r="I20" s="4"/>
      <c r="J20" s="4"/>
    </row>
    <row r="21" spans="1:10">
      <c r="A21" s="2">
        <v>16</v>
      </c>
      <c r="B21" s="2" t="s">
        <v>87</v>
      </c>
      <c r="C21" s="2" t="s">
        <v>88</v>
      </c>
      <c r="D21" s="5"/>
      <c r="E21" s="3">
        <v>1</v>
      </c>
      <c r="F21" s="3">
        <v>1</v>
      </c>
      <c r="G21" s="4">
        <v>0.94</v>
      </c>
      <c r="H21" s="4">
        <v>71.67</v>
      </c>
      <c r="I21" s="4"/>
      <c r="J21" s="4"/>
    </row>
    <row r="22" spans="1:10">
      <c r="A22" s="2">
        <v>17</v>
      </c>
      <c r="B22" s="2" t="s">
        <v>92</v>
      </c>
      <c r="C22" s="2" t="s">
        <v>93</v>
      </c>
      <c r="D22" s="5"/>
      <c r="E22" s="3">
        <v>8</v>
      </c>
      <c r="F22" s="3">
        <v>32</v>
      </c>
      <c r="G22" s="4">
        <v>2.95</v>
      </c>
      <c r="H22" s="4">
        <v>100</v>
      </c>
      <c r="I22" s="4"/>
      <c r="J22" s="4"/>
    </row>
    <row r="23" spans="1:10" ht="15">
      <c r="A23" s="2">
        <v>18</v>
      </c>
      <c r="B23" s="2" t="s">
        <v>97</v>
      </c>
      <c r="C23" s="2" t="s">
        <v>98</v>
      </c>
      <c r="D23" s="6" t="s">
        <v>99</v>
      </c>
      <c r="E23" s="3">
        <v>8</v>
      </c>
      <c r="F23" s="3">
        <v>32</v>
      </c>
      <c r="G23" s="4">
        <v>4.58</v>
      </c>
      <c r="H23" s="4">
        <v>82.34</v>
      </c>
      <c r="I23" s="4"/>
      <c r="J23" s="4"/>
    </row>
    <row r="24" spans="1:10">
      <c r="A24" s="2">
        <v>19</v>
      </c>
      <c r="B24" s="2" t="s">
        <v>100</v>
      </c>
      <c r="C24" s="2" t="s">
        <v>101</v>
      </c>
      <c r="D24" s="5"/>
      <c r="E24" s="3">
        <v>2</v>
      </c>
      <c r="F24" s="3">
        <v>1</v>
      </c>
      <c r="G24" s="4">
        <v>0.75</v>
      </c>
      <c r="H24" s="4">
        <v>45</v>
      </c>
      <c r="I24" s="4"/>
      <c r="J24" s="4"/>
    </row>
    <row r="25" spans="1:10" ht="15">
      <c r="A25" s="2">
        <v>20</v>
      </c>
      <c r="B25" s="2" t="s">
        <v>105</v>
      </c>
      <c r="C25" s="2" t="s">
        <v>106</v>
      </c>
      <c r="D25" s="6" t="s">
        <v>107</v>
      </c>
      <c r="E25" s="3">
        <v>16</v>
      </c>
      <c r="F25" s="3">
        <v>64</v>
      </c>
      <c r="G25" s="4">
        <v>2.5499999999999998</v>
      </c>
      <c r="H25" s="4">
        <v>36.39</v>
      </c>
      <c r="I25" s="4">
        <v>34.78</v>
      </c>
      <c r="J25" s="4">
        <v>49.17</v>
      </c>
    </row>
    <row r="26" spans="1:10">
      <c r="A26" s="2">
        <v>21</v>
      </c>
      <c r="B26" s="2" t="s">
        <v>110</v>
      </c>
      <c r="C26" s="2" t="s">
        <v>111</v>
      </c>
      <c r="D26" s="5"/>
      <c r="E26" s="3">
        <v>4</v>
      </c>
      <c r="F26" s="3">
        <v>16</v>
      </c>
      <c r="G26" s="4">
        <v>0.67</v>
      </c>
      <c r="H26" s="4">
        <v>34.130000000000003</v>
      </c>
      <c r="I26" s="4">
        <v>45.16</v>
      </c>
      <c r="J26" s="4">
        <v>46.45</v>
      </c>
    </row>
    <row r="27" spans="1:10">
      <c r="A27" s="2">
        <v>22</v>
      </c>
      <c r="B27" s="2" t="s">
        <v>115</v>
      </c>
      <c r="C27" s="2" t="s">
        <v>116</v>
      </c>
      <c r="D27" s="5"/>
      <c r="E27" s="3">
        <v>2</v>
      </c>
      <c r="F27" s="3">
        <v>2</v>
      </c>
      <c r="G27" s="4">
        <v>0.55000000000000004</v>
      </c>
      <c r="H27" s="4">
        <v>16.03</v>
      </c>
      <c r="I27" s="4">
        <v>10.33</v>
      </c>
      <c r="J27" s="4">
        <v>11.71</v>
      </c>
    </row>
    <row r="28" spans="1:10">
      <c r="A28" s="2">
        <v>23</v>
      </c>
      <c r="B28" s="2" t="s">
        <v>117</v>
      </c>
      <c r="C28" s="2" t="s">
        <v>118</v>
      </c>
      <c r="D28" s="5"/>
      <c r="E28" s="3">
        <v>2</v>
      </c>
      <c r="F28" s="3">
        <v>4</v>
      </c>
      <c r="G28" s="4">
        <v>1.75</v>
      </c>
      <c r="H28" s="4">
        <v>53.19</v>
      </c>
      <c r="I28" s="4"/>
      <c r="J28" s="4"/>
    </row>
    <row r="29" spans="1:10" ht="15">
      <c r="A29" s="2">
        <v>24</v>
      </c>
      <c r="B29" s="2" t="s">
        <v>119</v>
      </c>
      <c r="C29" s="2" t="s">
        <v>120</v>
      </c>
      <c r="D29" s="6" t="s">
        <v>121</v>
      </c>
      <c r="E29" s="3">
        <v>8</v>
      </c>
      <c r="F29" s="3">
        <v>32</v>
      </c>
      <c r="G29" s="4">
        <v>3.73</v>
      </c>
      <c r="H29" s="4">
        <v>47.59</v>
      </c>
      <c r="I29" s="4">
        <v>23.04</v>
      </c>
      <c r="J29" s="4">
        <v>24.34</v>
      </c>
    </row>
    <row r="30" spans="1:10">
      <c r="A30" s="2">
        <v>25</v>
      </c>
      <c r="B30" s="2" t="s">
        <v>126</v>
      </c>
      <c r="C30" s="2" t="s">
        <v>127</v>
      </c>
      <c r="D30" s="5"/>
      <c r="E30" s="3">
        <v>2</v>
      </c>
      <c r="F30" s="3">
        <v>4</v>
      </c>
      <c r="G30" s="4">
        <v>2.98</v>
      </c>
      <c r="H30" s="4">
        <v>19.59</v>
      </c>
      <c r="I30" s="4">
        <v>53.73</v>
      </c>
      <c r="J30" s="4">
        <v>55.73</v>
      </c>
    </row>
    <row r="31" spans="1:10">
      <c r="A31" s="2">
        <v>26</v>
      </c>
      <c r="B31" s="2" t="s">
        <v>128</v>
      </c>
      <c r="C31" s="2" t="s">
        <v>129</v>
      </c>
      <c r="D31" s="5"/>
      <c r="E31" s="3">
        <v>4</v>
      </c>
      <c r="F31" s="3">
        <v>8</v>
      </c>
      <c r="G31" s="4">
        <v>4.13</v>
      </c>
      <c r="H31" s="4">
        <v>55.73</v>
      </c>
      <c r="I31" s="4"/>
      <c r="J31" s="4"/>
    </row>
    <row r="32" spans="1:10">
      <c r="A32" s="2">
        <v>27</v>
      </c>
      <c r="B32" s="2" t="s">
        <v>136</v>
      </c>
      <c r="C32" s="2" t="s">
        <v>137</v>
      </c>
      <c r="D32" s="5"/>
      <c r="E32" s="3">
        <v>2</v>
      </c>
      <c r="F32" s="3">
        <v>8</v>
      </c>
      <c r="G32" s="4">
        <v>2.87</v>
      </c>
      <c r="H32" s="4">
        <v>97.05</v>
      </c>
      <c r="I32" s="4">
        <v>55.86</v>
      </c>
      <c r="J32" s="4">
        <v>79.98</v>
      </c>
    </row>
    <row r="33" spans="1:10">
      <c r="A33" s="2">
        <v>28</v>
      </c>
      <c r="B33" s="2" t="s">
        <v>142</v>
      </c>
      <c r="C33" s="2" t="s">
        <v>143</v>
      </c>
      <c r="D33" s="5"/>
      <c r="E33" s="3">
        <v>4</v>
      </c>
      <c r="F33" s="3">
        <v>16</v>
      </c>
      <c r="G33" s="4">
        <v>4</v>
      </c>
      <c r="H33" s="4">
        <v>11.06</v>
      </c>
      <c r="I33" s="4"/>
      <c r="J33" s="4"/>
    </row>
    <row r="34" spans="1:10">
      <c r="A34" s="2">
        <v>29</v>
      </c>
      <c r="B34" s="2" t="s">
        <v>144</v>
      </c>
      <c r="C34" s="2" t="s">
        <v>145</v>
      </c>
      <c r="D34" s="5"/>
      <c r="E34" s="3">
        <v>2</v>
      </c>
      <c r="F34" s="3">
        <v>4</v>
      </c>
      <c r="G34" s="4">
        <v>3.98</v>
      </c>
      <c r="H34" s="4">
        <v>59.75</v>
      </c>
      <c r="I34" s="4"/>
      <c r="J34" s="4"/>
    </row>
    <row r="35" spans="1:10">
      <c r="A35" s="2">
        <v>30</v>
      </c>
      <c r="B35" s="2" t="s">
        <v>146</v>
      </c>
      <c r="C35" s="2" t="s">
        <v>147</v>
      </c>
      <c r="D35" s="5"/>
      <c r="E35" s="3">
        <v>8</v>
      </c>
      <c r="F35" s="3">
        <v>32</v>
      </c>
      <c r="G35" s="4">
        <v>3.93</v>
      </c>
      <c r="H35" s="4">
        <v>70.959999999999994</v>
      </c>
      <c r="I35" s="4"/>
      <c r="J35" s="4"/>
    </row>
    <row r="36" spans="1:10">
      <c r="A36" s="2">
        <v>31</v>
      </c>
      <c r="B36" s="2" t="s">
        <v>148</v>
      </c>
      <c r="C36" s="2" t="s">
        <v>149</v>
      </c>
      <c r="D36" s="5"/>
      <c r="E36" s="3">
        <v>8</v>
      </c>
      <c r="F36" s="3">
        <v>32</v>
      </c>
      <c r="G36" s="4">
        <v>2.96</v>
      </c>
      <c r="H36" s="4">
        <v>61.9</v>
      </c>
      <c r="I36" s="4">
        <v>33.14</v>
      </c>
      <c r="J36" s="4">
        <v>34.96</v>
      </c>
    </row>
    <row r="37" spans="1:10">
      <c r="A37" s="2">
        <v>32</v>
      </c>
      <c r="B37" s="2" t="s">
        <v>154</v>
      </c>
      <c r="C37" s="2" t="s">
        <v>155</v>
      </c>
      <c r="D37" s="5"/>
      <c r="E37" s="3">
        <v>8</v>
      </c>
      <c r="F37" s="3">
        <v>32</v>
      </c>
      <c r="G37" s="4">
        <v>2.2599999999999998</v>
      </c>
      <c r="H37" s="4">
        <v>98.84</v>
      </c>
      <c r="I37" s="4">
        <v>76.5</v>
      </c>
      <c r="J37" s="4">
        <v>98.79</v>
      </c>
    </row>
    <row r="38" spans="1:10">
      <c r="A38" s="2">
        <v>33</v>
      </c>
      <c r="B38" s="2" t="s">
        <v>158</v>
      </c>
      <c r="C38" s="2" t="s">
        <v>159</v>
      </c>
      <c r="D38" s="5"/>
      <c r="E38" s="3">
        <v>2</v>
      </c>
      <c r="F38" s="3">
        <v>2</v>
      </c>
      <c r="G38" s="4">
        <v>0.55000000000000004</v>
      </c>
      <c r="H38" s="4">
        <v>17.03</v>
      </c>
      <c r="I38" s="4">
        <v>9.52</v>
      </c>
      <c r="J38" s="4">
        <v>10.57</v>
      </c>
    </row>
    <row r="39" spans="1:10">
      <c r="A39" s="2">
        <v>34</v>
      </c>
      <c r="B39" s="2" t="s">
        <v>165</v>
      </c>
      <c r="C39" s="2" t="s">
        <v>166</v>
      </c>
      <c r="D39" s="5"/>
      <c r="E39" s="3">
        <v>2</v>
      </c>
      <c r="F39" s="3">
        <v>8</v>
      </c>
      <c r="G39" s="4">
        <v>2.3199999999999998</v>
      </c>
      <c r="H39" s="4">
        <v>97.26</v>
      </c>
      <c r="I39" s="4">
        <v>36.1</v>
      </c>
      <c r="J39" s="4">
        <v>60.97</v>
      </c>
    </row>
    <row r="40" spans="1:10">
      <c r="A40" s="2">
        <v>35</v>
      </c>
      <c r="B40" s="2" t="s">
        <v>167</v>
      </c>
      <c r="C40" s="2" t="s">
        <v>168</v>
      </c>
      <c r="D40" s="5"/>
      <c r="E40" s="3">
        <v>4</v>
      </c>
      <c r="F40" s="3">
        <v>16</v>
      </c>
      <c r="G40" s="4">
        <v>3.19</v>
      </c>
      <c r="H40" s="4">
        <v>38.78</v>
      </c>
      <c r="I40" s="4"/>
      <c r="J40" s="4"/>
    </row>
    <row r="41" spans="1:10">
      <c r="A41" s="2">
        <v>36</v>
      </c>
      <c r="B41" s="2" t="s">
        <v>171</v>
      </c>
      <c r="C41" s="2" t="s">
        <v>172</v>
      </c>
      <c r="D41" s="5"/>
      <c r="E41" s="3">
        <v>8</v>
      </c>
      <c r="F41" s="3">
        <v>32</v>
      </c>
      <c r="G41" s="4">
        <v>3.53</v>
      </c>
      <c r="H41" s="4">
        <v>16.29</v>
      </c>
      <c r="I41" s="4">
        <v>53.43</v>
      </c>
      <c r="J41" s="4">
        <v>54.56</v>
      </c>
    </row>
    <row r="42" spans="1:10">
      <c r="A42" s="2">
        <v>37</v>
      </c>
      <c r="B42" s="2" t="s">
        <v>175</v>
      </c>
      <c r="C42" s="2" t="s">
        <v>176</v>
      </c>
      <c r="D42" s="5"/>
      <c r="E42" s="3">
        <v>2</v>
      </c>
      <c r="F42" s="3">
        <v>8</v>
      </c>
      <c r="G42" s="4">
        <v>1.29</v>
      </c>
      <c r="H42" s="4">
        <v>99.97</v>
      </c>
      <c r="I42" s="4"/>
      <c r="J42" s="4"/>
    </row>
    <row r="43" spans="1:10" ht="15">
      <c r="A43" s="2">
        <v>38</v>
      </c>
      <c r="B43" s="2" t="s">
        <v>182</v>
      </c>
      <c r="C43" s="2" t="s">
        <v>183</v>
      </c>
      <c r="D43" s="6" t="s">
        <v>121</v>
      </c>
      <c r="E43" s="3">
        <v>8</v>
      </c>
      <c r="F43" s="3">
        <v>32</v>
      </c>
      <c r="G43" s="4">
        <v>3.99</v>
      </c>
      <c r="H43" s="4">
        <v>28.75</v>
      </c>
      <c r="I43" s="4">
        <v>74.12</v>
      </c>
      <c r="J43" s="4">
        <v>89.1</v>
      </c>
    </row>
    <row r="44" spans="1:10">
      <c r="A44" s="2">
        <v>39</v>
      </c>
      <c r="B44" s="2" t="s">
        <v>184</v>
      </c>
      <c r="C44" s="2" t="s">
        <v>185</v>
      </c>
      <c r="D44" s="5"/>
      <c r="E44" s="3">
        <v>8</v>
      </c>
      <c r="F44" s="3">
        <v>64</v>
      </c>
      <c r="G44" s="4">
        <v>1.85</v>
      </c>
      <c r="H44" s="4">
        <v>100</v>
      </c>
      <c r="I44" s="4">
        <v>37.86</v>
      </c>
      <c r="J44" s="4">
        <v>66.27</v>
      </c>
    </row>
    <row r="45" spans="1:10">
      <c r="A45" s="2">
        <v>40</v>
      </c>
      <c r="B45" s="2" t="s">
        <v>190</v>
      </c>
      <c r="C45" s="2" t="s">
        <v>191</v>
      </c>
      <c r="D45" s="5"/>
      <c r="E45" s="3">
        <v>8</v>
      </c>
      <c r="F45" s="3">
        <v>32</v>
      </c>
      <c r="G45" s="4">
        <v>1.25</v>
      </c>
      <c r="H45" s="4">
        <v>29.03</v>
      </c>
      <c r="I45" s="4"/>
      <c r="J45" s="4"/>
    </row>
  </sheetData>
  <mergeCells count="2">
    <mergeCell ref="A1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sqref="A1:J2"/>
    </sheetView>
  </sheetViews>
  <sheetFormatPr defaultRowHeight="14.25"/>
  <cols>
    <col min="1" max="1" width="6" customWidth="1"/>
    <col min="2" max="2" width="48" customWidth="1"/>
    <col min="3" max="3" width="18" customWidth="1"/>
    <col min="4" max="4" width="38" customWidth="1"/>
    <col min="5" max="6" width="19" customWidth="1"/>
    <col min="7" max="10" width="15" customWidth="1"/>
  </cols>
  <sheetData>
    <row r="1" spans="1:10">
      <c r="A1" s="15" t="s">
        <v>194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>
      <c r="A3" s="16" t="s">
        <v>195</v>
      </c>
      <c r="B3" s="16"/>
      <c r="C3" s="16"/>
      <c r="D3" s="16"/>
      <c r="E3" s="16"/>
      <c r="F3" s="16"/>
      <c r="G3" s="16"/>
      <c r="H3" s="16"/>
      <c r="I3" s="16"/>
      <c r="J3" s="16"/>
    </row>
    <row r="5" spans="1:10" ht="30">
      <c r="A5" s="1" t="s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</row>
    <row r="6" spans="1:10" ht="15">
      <c r="A6" s="2">
        <v>1</v>
      </c>
      <c r="B6" s="2" t="s">
        <v>38</v>
      </c>
      <c r="C6" s="2" t="s">
        <v>39</v>
      </c>
      <c r="D6" s="6" t="s">
        <v>40</v>
      </c>
      <c r="E6" s="3">
        <v>8</v>
      </c>
      <c r="F6" s="3">
        <v>32</v>
      </c>
      <c r="G6" s="4">
        <v>4.26</v>
      </c>
      <c r="H6" s="4">
        <v>24.6</v>
      </c>
      <c r="I6" s="4">
        <v>15.84</v>
      </c>
      <c r="J6" s="4">
        <v>20.3</v>
      </c>
    </row>
    <row r="7" spans="1:10">
      <c r="A7" s="2">
        <v>2</v>
      </c>
      <c r="B7" s="2" t="s">
        <v>41</v>
      </c>
      <c r="C7" s="2" t="s">
        <v>42</v>
      </c>
      <c r="D7" s="5"/>
      <c r="E7" s="3">
        <v>4</v>
      </c>
      <c r="F7" s="3">
        <v>32</v>
      </c>
      <c r="G7" s="4">
        <v>1.69</v>
      </c>
      <c r="H7" s="4">
        <v>66.28</v>
      </c>
      <c r="I7" s="4">
        <v>22.39</v>
      </c>
      <c r="J7" s="4">
        <v>41.27</v>
      </c>
    </row>
    <row r="8" spans="1:10">
      <c r="A8" s="2">
        <v>3</v>
      </c>
      <c r="B8" s="2" t="s">
        <v>45</v>
      </c>
      <c r="C8" s="2" t="s">
        <v>46</v>
      </c>
      <c r="D8" s="5"/>
      <c r="E8" s="3">
        <v>2</v>
      </c>
      <c r="F8" s="3">
        <v>2</v>
      </c>
      <c r="G8" s="4">
        <v>1.01</v>
      </c>
      <c r="H8" s="4">
        <v>20.43</v>
      </c>
      <c r="I8" s="4">
        <v>10.58</v>
      </c>
      <c r="J8" s="4">
        <v>11.69</v>
      </c>
    </row>
    <row r="9" spans="1:10">
      <c r="A9" s="2">
        <v>4</v>
      </c>
      <c r="B9" s="2" t="s">
        <v>49</v>
      </c>
      <c r="C9" s="2" t="s">
        <v>50</v>
      </c>
      <c r="D9" s="5"/>
      <c r="E9" s="3">
        <v>2</v>
      </c>
      <c r="F9" s="3">
        <v>2</v>
      </c>
      <c r="G9" s="4">
        <v>1.19</v>
      </c>
      <c r="H9" s="4">
        <v>15.72</v>
      </c>
      <c r="I9" s="4">
        <v>11.53</v>
      </c>
      <c r="J9" s="4">
        <v>16.68</v>
      </c>
    </row>
    <row r="10" spans="1:10" ht="15">
      <c r="A10" s="2">
        <v>5</v>
      </c>
      <c r="B10" s="2" t="s">
        <v>55</v>
      </c>
      <c r="C10" s="2" t="s">
        <v>56</v>
      </c>
      <c r="D10" s="6" t="s">
        <v>57</v>
      </c>
      <c r="E10" s="3">
        <v>4</v>
      </c>
      <c r="F10" s="3">
        <v>16</v>
      </c>
      <c r="G10" s="4">
        <v>6.68</v>
      </c>
      <c r="H10" s="4">
        <v>77.14</v>
      </c>
      <c r="I10" s="4">
        <v>39.729999999999997</v>
      </c>
      <c r="J10" s="4">
        <v>42.93</v>
      </c>
    </row>
    <row r="11" spans="1:10">
      <c r="A11" s="2">
        <v>6</v>
      </c>
      <c r="B11" s="2" t="s">
        <v>58</v>
      </c>
      <c r="C11" s="2" t="s">
        <v>59</v>
      </c>
      <c r="D11" s="5"/>
      <c r="E11" s="3">
        <v>2</v>
      </c>
      <c r="F11" s="3">
        <v>1</v>
      </c>
      <c r="G11" s="4">
        <v>0.61</v>
      </c>
      <c r="H11" s="4">
        <v>15.28</v>
      </c>
      <c r="I11" s="4">
        <v>23.89</v>
      </c>
      <c r="J11" s="4">
        <v>33.770000000000003</v>
      </c>
    </row>
    <row r="12" spans="1:10">
      <c r="A12" s="2">
        <v>7</v>
      </c>
      <c r="B12" s="2" t="s">
        <v>60</v>
      </c>
      <c r="C12" s="2" t="s">
        <v>61</v>
      </c>
      <c r="D12" s="5"/>
      <c r="E12" s="3">
        <v>4</v>
      </c>
      <c r="F12" s="3">
        <v>16</v>
      </c>
      <c r="G12" s="4">
        <v>0.5</v>
      </c>
      <c r="H12" s="4">
        <v>14.71</v>
      </c>
      <c r="I12" s="4">
        <v>3.55</v>
      </c>
      <c r="J12" s="4">
        <v>4.2699999999999996</v>
      </c>
    </row>
    <row r="13" spans="1:10">
      <c r="A13" s="2">
        <v>8</v>
      </c>
      <c r="B13" s="2" t="s">
        <v>65</v>
      </c>
      <c r="C13" s="2" t="s">
        <v>66</v>
      </c>
      <c r="D13" s="5"/>
      <c r="E13" s="3">
        <v>8</v>
      </c>
      <c r="F13" s="3">
        <v>32</v>
      </c>
      <c r="G13" s="4">
        <v>3.75</v>
      </c>
      <c r="H13" s="4">
        <v>53.28</v>
      </c>
      <c r="I13" s="4">
        <v>26.99</v>
      </c>
      <c r="J13" s="4">
        <v>28.18</v>
      </c>
    </row>
    <row r="14" spans="1:10" ht="15">
      <c r="A14" s="2">
        <v>9</v>
      </c>
      <c r="B14" s="2" t="s">
        <v>71</v>
      </c>
      <c r="C14" s="2" t="s">
        <v>72</v>
      </c>
      <c r="D14" s="6" t="s">
        <v>73</v>
      </c>
      <c r="E14" s="3">
        <v>8</v>
      </c>
      <c r="F14" s="3">
        <v>32</v>
      </c>
      <c r="G14" s="4">
        <v>4.4000000000000004</v>
      </c>
      <c r="H14" s="4">
        <v>27.41</v>
      </c>
      <c r="I14" s="4">
        <v>10.16</v>
      </c>
      <c r="J14" s="4">
        <v>12.97</v>
      </c>
    </row>
    <row r="15" spans="1:10">
      <c r="A15" s="2">
        <v>10</v>
      </c>
      <c r="B15" s="2" t="s">
        <v>77</v>
      </c>
      <c r="C15" s="2" t="s">
        <v>78</v>
      </c>
      <c r="D15" s="5"/>
      <c r="E15" s="3">
        <v>4</v>
      </c>
      <c r="F15" s="3">
        <v>16</v>
      </c>
      <c r="G15" s="4">
        <v>7.08</v>
      </c>
      <c r="H15" s="4">
        <v>19.88</v>
      </c>
      <c r="I15" s="4">
        <v>35.68</v>
      </c>
      <c r="J15" s="4">
        <v>36.549999999999997</v>
      </c>
    </row>
    <row r="16" spans="1:10">
      <c r="A16" s="2">
        <v>11</v>
      </c>
      <c r="B16" s="2" t="s">
        <v>83</v>
      </c>
      <c r="C16" s="2" t="s">
        <v>84</v>
      </c>
      <c r="D16" s="5"/>
      <c r="E16" s="3">
        <v>4</v>
      </c>
      <c r="F16" s="3">
        <v>16</v>
      </c>
      <c r="G16" s="4">
        <v>2.48</v>
      </c>
      <c r="H16" s="4">
        <v>57.57</v>
      </c>
      <c r="I16" s="4">
        <v>6.48</v>
      </c>
      <c r="J16" s="4">
        <v>22.98</v>
      </c>
    </row>
    <row r="17" spans="1:10" ht="30">
      <c r="A17" s="2">
        <v>12</v>
      </c>
      <c r="B17" s="2" t="s">
        <v>89</v>
      </c>
      <c r="C17" s="2" t="s">
        <v>90</v>
      </c>
      <c r="D17" s="6" t="s">
        <v>91</v>
      </c>
      <c r="E17" s="3">
        <v>4</v>
      </c>
      <c r="F17" s="3">
        <v>8</v>
      </c>
      <c r="G17" s="4">
        <v>6.1</v>
      </c>
      <c r="H17" s="4">
        <v>48.1</v>
      </c>
      <c r="I17" s="4">
        <v>25.62</v>
      </c>
      <c r="J17" s="4">
        <v>31.15</v>
      </c>
    </row>
    <row r="18" spans="1:10" ht="15">
      <c r="A18" s="2">
        <v>13</v>
      </c>
      <c r="B18" s="2" t="s">
        <v>94</v>
      </c>
      <c r="C18" s="2" t="s">
        <v>95</v>
      </c>
      <c r="D18" s="6" t="s">
        <v>96</v>
      </c>
      <c r="E18" s="3">
        <v>8</v>
      </c>
      <c r="F18" s="3">
        <v>32</v>
      </c>
      <c r="G18" s="4">
        <v>10.15</v>
      </c>
      <c r="H18" s="4">
        <v>82.3</v>
      </c>
      <c r="I18" s="4">
        <v>32.24</v>
      </c>
      <c r="J18" s="4">
        <v>35.57</v>
      </c>
    </row>
    <row r="19" spans="1:10" ht="15">
      <c r="A19" s="2">
        <v>14</v>
      </c>
      <c r="B19" s="2" t="s">
        <v>105</v>
      </c>
      <c r="C19" s="2" t="s">
        <v>106</v>
      </c>
      <c r="D19" s="6" t="s">
        <v>107</v>
      </c>
      <c r="E19" s="3">
        <v>16</v>
      </c>
      <c r="F19" s="3">
        <v>64</v>
      </c>
      <c r="G19" s="4">
        <v>2.5499999999999998</v>
      </c>
      <c r="H19" s="4">
        <v>36.39</v>
      </c>
      <c r="I19" s="4">
        <v>34.78</v>
      </c>
      <c r="J19" s="4">
        <v>49.17</v>
      </c>
    </row>
    <row r="20" spans="1:10" ht="15">
      <c r="A20" s="2">
        <v>15</v>
      </c>
      <c r="B20" s="2" t="s">
        <v>112</v>
      </c>
      <c r="C20" s="2" t="s">
        <v>113</v>
      </c>
      <c r="D20" s="6" t="s">
        <v>114</v>
      </c>
      <c r="E20" s="3">
        <v>4</v>
      </c>
      <c r="F20" s="3">
        <v>16</v>
      </c>
      <c r="G20" s="4">
        <v>23.76</v>
      </c>
      <c r="H20" s="4">
        <v>97.26</v>
      </c>
      <c r="I20" s="4">
        <v>25.83</v>
      </c>
      <c r="J20" s="4">
        <v>70.06</v>
      </c>
    </row>
    <row r="21" spans="1:10">
      <c r="A21" s="2">
        <v>16</v>
      </c>
      <c r="B21" s="2" t="s">
        <v>115</v>
      </c>
      <c r="C21" s="2" t="s">
        <v>116</v>
      </c>
      <c r="D21" s="5"/>
      <c r="E21" s="3">
        <v>2</v>
      </c>
      <c r="F21" s="3">
        <v>2</v>
      </c>
      <c r="G21" s="4">
        <v>0.55000000000000004</v>
      </c>
      <c r="H21" s="4">
        <v>16.03</v>
      </c>
      <c r="I21" s="4">
        <v>10.33</v>
      </c>
      <c r="J21" s="4">
        <v>11.71</v>
      </c>
    </row>
    <row r="22" spans="1:10" ht="15">
      <c r="A22" s="2">
        <v>17</v>
      </c>
      <c r="B22" s="2" t="s">
        <v>119</v>
      </c>
      <c r="C22" s="2" t="s">
        <v>120</v>
      </c>
      <c r="D22" s="6" t="s">
        <v>121</v>
      </c>
      <c r="E22" s="3">
        <v>8</v>
      </c>
      <c r="F22" s="3">
        <v>32</v>
      </c>
      <c r="G22" s="4">
        <v>3.73</v>
      </c>
      <c r="H22" s="4">
        <v>47.59</v>
      </c>
      <c r="I22" s="4">
        <v>23.04</v>
      </c>
      <c r="J22" s="4">
        <v>24.34</v>
      </c>
    </row>
    <row r="23" spans="1:10" ht="30">
      <c r="A23" s="2">
        <v>18</v>
      </c>
      <c r="B23" s="2" t="s">
        <v>134</v>
      </c>
      <c r="C23" s="2" t="s">
        <v>135</v>
      </c>
      <c r="D23" s="6" t="s">
        <v>91</v>
      </c>
      <c r="E23" s="3">
        <v>4</v>
      </c>
      <c r="F23" s="3">
        <v>8</v>
      </c>
      <c r="G23" s="4">
        <v>7.39</v>
      </c>
      <c r="H23" s="4">
        <v>29.62</v>
      </c>
      <c r="I23" s="4">
        <v>26</v>
      </c>
      <c r="J23" s="4">
        <v>32.61</v>
      </c>
    </row>
    <row r="24" spans="1:10">
      <c r="A24" s="2">
        <v>19</v>
      </c>
      <c r="B24" s="2" t="s">
        <v>148</v>
      </c>
      <c r="C24" s="2" t="s">
        <v>149</v>
      </c>
      <c r="D24" s="5"/>
      <c r="E24" s="3">
        <v>8</v>
      </c>
      <c r="F24" s="3">
        <v>32</v>
      </c>
      <c r="G24" s="4">
        <v>2.96</v>
      </c>
      <c r="H24" s="4">
        <v>61.9</v>
      </c>
      <c r="I24" s="4">
        <v>33.14</v>
      </c>
      <c r="J24" s="4">
        <v>34.96</v>
      </c>
    </row>
    <row r="25" spans="1:10">
      <c r="A25" s="2">
        <v>20</v>
      </c>
      <c r="B25" s="2" t="s">
        <v>158</v>
      </c>
      <c r="C25" s="2" t="s">
        <v>159</v>
      </c>
      <c r="D25" s="5"/>
      <c r="E25" s="3">
        <v>2</v>
      </c>
      <c r="F25" s="3">
        <v>2</v>
      </c>
      <c r="G25" s="4">
        <v>0.55000000000000004</v>
      </c>
      <c r="H25" s="4">
        <v>17.03</v>
      </c>
      <c r="I25" s="4">
        <v>9.52</v>
      </c>
      <c r="J25" s="4">
        <v>10.57</v>
      </c>
    </row>
    <row r="26" spans="1:10">
      <c r="A26" s="2">
        <v>21</v>
      </c>
      <c r="B26" s="2" t="s">
        <v>160</v>
      </c>
      <c r="C26" s="2" t="s">
        <v>161</v>
      </c>
      <c r="D26" s="5"/>
      <c r="E26" s="3">
        <v>8</v>
      </c>
      <c r="F26" s="3">
        <v>32</v>
      </c>
      <c r="G26" s="4">
        <v>6.27</v>
      </c>
      <c r="H26" s="4">
        <v>30.49</v>
      </c>
      <c r="I26" s="4">
        <v>3.96</v>
      </c>
      <c r="J26" s="4">
        <v>11.01</v>
      </c>
    </row>
    <row r="27" spans="1:10">
      <c r="A27" s="2">
        <v>22</v>
      </c>
      <c r="B27" s="2" t="s">
        <v>165</v>
      </c>
      <c r="C27" s="2" t="s">
        <v>166</v>
      </c>
      <c r="D27" s="5"/>
      <c r="E27" s="3">
        <v>2</v>
      </c>
      <c r="F27" s="3">
        <v>8</v>
      </c>
      <c r="G27" s="4">
        <v>2.3199999999999998</v>
      </c>
      <c r="H27" s="4">
        <v>97.26</v>
      </c>
      <c r="I27" s="4">
        <v>36.1</v>
      </c>
      <c r="J27" s="4">
        <v>60.97</v>
      </c>
    </row>
    <row r="28" spans="1:10">
      <c r="A28" s="2">
        <v>23</v>
      </c>
      <c r="B28" s="2" t="s">
        <v>184</v>
      </c>
      <c r="C28" s="2" t="s">
        <v>185</v>
      </c>
      <c r="D28" s="5"/>
      <c r="E28" s="3">
        <v>8</v>
      </c>
      <c r="F28" s="3">
        <v>64</v>
      </c>
      <c r="G28" s="4">
        <v>1.85</v>
      </c>
      <c r="H28" s="4">
        <v>100</v>
      </c>
      <c r="I28" s="4">
        <v>37.86</v>
      </c>
      <c r="J28" s="4">
        <v>66.27</v>
      </c>
    </row>
  </sheetData>
  <mergeCells count="2">
    <mergeCell ref="A1:J2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topLeftCell="A5" zoomScale="90" zoomScaleNormal="90" workbookViewId="0">
      <selection activeCell="B6" sqref="A6:XFD6"/>
    </sheetView>
  </sheetViews>
  <sheetFormatPr defaultRowHeight="14.25"/>
  <cols>
    <col min="1" max="1" width="6" customWidth="1"/>
    <col min="2" max="2" width="48" customWidth="1"/>
    <col min="3" max="3" width="18" customWidth="1"/>
    <col min="4" max="4" width="24.375" customWidth="1"/>
    <col min="5" max="6" width="19" customWidth="1"/>
    <col min="7" max="10" width="15" customWidth="1"/>
    <col min="11" max="12" width="15.625" customWidth="1"/>
    <col min="13" max="13" width="18.375" customWidth="1"/>
    <col min="14" max="14" width="10.75" customWidth="1"/>
  </cols>
  <sheetData>
    <row r="1" spans="1:14">
      <c r="A1" s="15" t="s">
        <v>196</v>
      </c>
      <c r="B1" s="15"/>
      <c r="C1" s="15"/>
      <c r="D1" s="15"/>
      <c r="E1" s="15"/>
      <c r="F1" s="15"/>
      <c r="G1" s="15"/>
      <c r="H1" s="15"/>
      <c r="I1" s="15"/>
      <c r="J1" s="15"/>
    </row>
    <row r="2" spans="1:14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4">
      <c r="A3" s="16" t="s">
        <v>197</v>
      </c>
      <c r="B3" s="16"/>
      <c r="C3" s="16"/>
      <c r="D3" s="16"/>
      <c r="E3" s="16"/>
      <c r="F3" s="16"/>
      <c r="G3" s="16"/>
      <c r="H3" s="16"/>
      <c r="I3" s="16"/>
      <c r="J3" s="16"/>
    </row>
    <row r="5" spans="1:14" ht="75">
      <c r="A5" s="1" t="s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199</v>
      </c>
      <c r="L5" s="1" t="s">
        <v>201</v>
      </c>
      <c r="M5" s="1" t="s">
        <v>200</v>
      </c>
      <c r="N5" s="1" t="s">
        <v>202</v>
      </c>
    </row>
    <row r="6" spans="1:14" ht="15">
      <c r="A6" s="2">
        <v>1</v>
      </c>
      <c r="B6" s="2" t="s">
        <v>38</v>
      </c>
      <c r="C6" s="2" t="s">
        <v>39</v>
      </c>
      <c r="D6" s="6" t="s">
        <v>40</v>
      </c>
      <c r="E6" s="3">
        <v>8</v>
      </c>
      <c r="F6" s="3">
        <v>32</v>
      </c>
      <c r="G6" s="4">
        <v>4.26</v>
      </c>
      <c r="H6" s="4">
        <v>24.6</v>
      </c>
      <c r="I6" s="4">
        <v>15.84</v>
      </c>
      <c r="J6" s="4">
        <v>20.3</v>
      </c>
      <c r="K6">
        <f>F6-(F6*J6/100)</f>
        <v>25.503999999999998</v>
      </c>
      <c r="L6">
        <f>F6-(F6*I6/100)</f>
        <v>26.9312</v>
      </c>
      <c r="M6">
        <f>E6-(E6*H6/100)</f>
        <v>6.032</v>
      </c>
      <c r="N6">
        <f>E6-(E6*G6/100)</f>
        <v>7.6592000000000002</v>
      </c>
    </row>
    <row r="7" spans="1:14">
      <c r="A7" s="2">
        <v>2</v>
      </c>
      <c r="B7" s="2" t="s">
        <v>41</v>
      </c>
      <c r="C7" s="2" t="s">
        <v>42</v>
      </c>
      <c r="D7" s="5"/>
      <c r="E7" s="3">
        <v>4</v>
      </c>
      <c r="F7" s="3">
        <v>32</v>
      </c>
      <c r="G7" s="4">
        <v>1.69</v>
      </c>
      <c r="H7" s="4">
        <v>66.28</v>
      </c>
      <c r="I7" s="4">
        <v>22.39</v>
      </c>
      <c r="J7" s="4">
        <v>41.27</v>
      </c>
      <c r="K7">
        <f t="shared" ref="K7:K21" si="0">F7-(F7*J7/100)</f>
        <v>18.793599999999998</v>
      </c>
      <c r="L7">
        <f t="shared" ref="L7:L21" si="1">F7-(F7*I7/100)</f>
        <v>24.8352</v>
      </c>
      <c r="M7">
        <f>E7-(E7*H7/100)</f>
        <v>1.3487999999999998</v>
      </c>
      <c r="N7">
        <f t="shared" ref="N7:N21" si="2">E7-(E7*G7/100)</f>
        <v>3.9323999999999999</v>
      </c>
    </row>
    <row r="8" spans="1:14">
      <c r="A8" s="2">
        <v>3</v>
      </c>
      <c r="B8" s="2" t="s">
        <v>45</v>
      </c>
      <c r="C8" s="2" t="s">
        <v>46</v>
      </c>
      <c r="D8" s="5"/>
      <c r="E8" s="3">
        <v>2</v>
      </c>
      <c r="F8" s="3">
        <v>2</v>
      </c>
      <c r="G8" s="4">
        <v>1.01</v>
      </c>
      <c r="H8" s="4">
        <v>20.43</v>
      </c>
      <c r="I8" s="4">
        <v>10.58</v>
      </c>
      <c r="J8" s="4">
        <v>11.69</v>
      </c>
      <c r="K8">
        <f t="shared" si="0"/>
        <v>1.7662</v>
      </c>
      <c r="L8">
        <f t="shared" si="1"/>
        <v>1.7884</v>
      </c>
      <c r="M8">
        <f t="shared" ref="M8:M21" si="3">E8-(E8*H8/100)</f>
        <v>1.5913999999999999</v>
      </c>
      <c r="N8">
        <f t="shared" si="2"/>
        <v>1.9798</v>
      </c>
    </row>
    <row r="9" spans="1:14">
      <c r="A9" s="2">
        <v>4</v>
      </c>
      <c r="B9" s="2" t="s">
        <v>49</v>
      </c>
      <c r="C9" s="2" t="s">
        <v>50</v>
      </c>
      <c r="D9" s="5"/>
      <c r="E9" s="3">
        <v>2</v>
      </c>
      <c r="F9" s="3">
        <v>2</v>
      </c>
      <c r="G9" s="4">
        <v>1.19</v>
      </c>
      <c r="H9" s="4">
        <v>15.72</v>
      </c>
      <c r="I9" s="4">
        <v>11.53</v>
      </c>
      <c r="J9" s="4">
        <v>16.68</v>
      </c>
      <c r="K9">
        <f t="shared" si="0"/>
        <v>1.6663999999999999</v>
      </c>
      <c r="L9">
        <f t="shared" si="1"/>
        <v>1.7694000000000001</v>
      </c>
      <c r="M9">
        <f t="shared" si="3"/>
        <v>1.6856</v>
      </c>
      <c r="N9">
        <f t="shared" si="2"/>
        <v>1.9762</v>
      </c>
    </row>
    <row r="10" spans="1:14">
      <c r="A10" s="2">
        <v>5</v>
      </c>
      <c r="B10" s="2" t="s">
        <v>58</v>
      </c>
      <c r="C10" s="2" t="s">
        <v>59</v>
      </c>
      <c r="D10" s="5"/>
      <c r="E10" s="3">
        <v>2</v>
      </c>
      <c r="F10" s="3">
        <v>1</v>
      </c>
      <c r="G10" s="4">
        <v>0.61</v>
      </c>
      <c r="H10" s="4">
        <v>15.28</v>
      </c>
      <c r="I10" s="4">
        <v>23.89</v>
      </c>
      <c r="J10" s="4">
        <v>33.770000000000003</v>
      </c>
      <c r="K10">
        <f t="shared" si="0"/>
        <v>0.66229999999999989</v>
      </c>
      <c r="L10">
        <f t="shared" si="1"/>
        <v>0.7611</v>
      </c>
      <c r="M10">
        <f t="shared" si="3"/>
        <v>1.6943999999999999</v>
      </c>
      <c r="N10">
        <f t="shared" si="2"/>
        <v>1.9878</v>
      </c>
    </row>
    <row r="11" spans="1:14">
      <c r="A11" s="2">
        <v>6</v>
      </c>
      <c r="B11" s="2" t="s">
        <v>60</v>
      </c>
      <c r="C11" s="2" t="s">
        <v>61</v>
      </c>
      <c r="D11" s="5"/>
      <c r="E11" s="3">
        <v>4</v>
      </c>
      <c r="F11" s="3">
        <v>16</v>
      </c>
      <c r="G11" s="4">
        <v>0.5</v>
      </c>
      <c r="H11" s="4">
        <v>14.71</v>
      </c>
      <c r="I11" s="4">
        <v>3.55</v>
      </c>
      <c r="J11" s="4">
        <v>4.2699999999999996</v>
      </c>
      <c r="K11">
        <f t="shared" si="0"/>
        <v>15.316800000000001</v>
      </c>
      <c r="L11">
        <f t="shared" si="1"/>
        <v>15.432</v>
      </c>
      <c r="M11">
        <f t="shared" si="3"/>
        <v>3.4116</v>
      </c>
      <c r="N11">
        <f t="shared" si="2"/>
        <v>3.98</v>
      </c>
    </row>
    <row r="12" spans="1:14">
      <c r="A12" s="2">
        <v>7</v>
      </c>
      <c r="B12" s="2" t="s">
        <v>65</v>
      </c>
      <c r="C12" s="2" t="s">
        <v>66</v>
      </c>
      <c r="D12" s="5"/>
      <c r="E12" s="3">
        <v>8</v>
      </c>
      <c r="F12" s="3">
        <v>32</v>
      </c>
      <c r="G12" s="4">
        <v>3.75</v>
      </c>
      <c r="H12" s="4">
        <v>53.28</v>
      </c>
      <c r="I12" s="4">
        <v>26.99</v>
      </c>
      <c r="J12" s="4">
        <v>28.18</v>
      </c>
      <c r="K12">
        <f t="shared" si="0"/>
        <v>22.982399999999998</v>
      </c>
      <c r="L12">
        <f t="shared" si="1"/>
        <v>23.363199999999999</v>
      </c>
      <c r="M12">
        <f t="shared" si="3"/>
        <v>3.7375999999999996</v>
      </c>
      <c r="N12">
        <f t="shared" si="2"/>
        <v>7.7</v>
      </c>
    </row>
    <row r="13" spans="1:14" ht="15">
      <c r="A13" s="2">
        <v>8</v>
      </c>
      <c r="B13" s="2" t="s">
        <v>71</v>
      </c>
      <c r="C13" s="2" t="s">
        <v>72</v>
      </c>
      <c r="D13" s="6" t="s">
        <v>73</v>
      </c>
      <c r="E13" s="3">
        <v>8</v>
      </c>
      <c r="F13" s="3">
        <v>32</v>
      </c>
      <c r="G13" s="4">
        <v>4.4000000000000004</v>
      </c>
      <c r="H13" s="4">
        <v>27.41</v>
      </c>
      <c r="I13" s="4">
        <v>10.16</v>
      </c>
      <c r="J13" s="4">
        <v>12.97</v>
      </c>
      <c r="K13">
        <f t="shared" si="0"/>
        <v>27.849599999999999</v>
      </c>
      <c r="L13">
        <f t="shared" si="1"/>
        <v>28.748799999999999</v>
      </c>
      <c r="M13">
        <f t="shared" si="3"/>
        <v>5.8071999999999999</v>
      </c>
      <c r="N13">
        <f t="shared" si="2"/>
        <v>7.6479999999999997</v>
      </c>
    </row>
    <row r="14" spans="1:14">
      <c r="A14" s="2">
        <v>9</v>
      </c>
      <c r="B14" s="2" t="s">
        <v>83</v>
      </c>
      <c r="C14" s="2" t="s">
        <v>84</v>
      </c>
      <c r="D14" s="5"/>
      <c r="E14" s="3">
        <v>4</v>
      </c>
      <c r="F14" s="3">
        <v>16</v>
      </c>
      <c r="G14" s="4">
        <v>2.48</v>
      </c>
      <c r="H14" s="4">
        <v>57.57</v>
      </c>
      <c r="I14" s="4">
        <v>6.48</v>
      </c>
      <c r="J14" s="4">
        <v>22.98</v>
      </c>
      <c r="K14">
        <f t="shared" si="0"/>
        <v>12.3232</v>
      </c>
      <c r="L14">
        <f t="shared" si="1"/>
        <v>14.963200000000001</v>
      </c>
      <c r="M14">
        <f t="shared" si="3"/>
        <v>1.6972</v>
      </c>
      <c r="N14">
        <f t="shared" si="2"/>
        <v>3.9007999999999998</v>
      </c>
    </row>
    <row r="15" spans="1:14" ht="15">
      <c r="A15" s="2">
        <v>10</v>
      </c>
      <c r="B15" s="2" t="s">
        <v>105</v>
      </c>
      <c r="C15" s="2" t="s">
        <v>106</v>
      </c>
      <c r="D15" s="6" t="s">
        <v>107</v>
      </c>
      <c r="E15" s="3">
        <v>16</v>
      </c>
      <c r="F15" s="3">
        <v>64</v>
      </c>
      <c r="G15" s="4">
        <v>2.5499999999999998</v>
      </c>
      <c r="H15" s="4">
        <v>36.39</v>
      </c>
      <c r="I15" s="4">
        <v>34.78</v>
      </c>
      <c r="J15" s="4">
        <v>49.17</v>
      </c>
      <c r="K15">
        <f t="shared" si="0"/>
        <v>32.531199999999998</v>
      </c>
      <c r="L15">
        <f t="shared" si="1"/>
        <v>41.7408</v>
      </c>
      <c r="M15">
        <f t="shared" si="3"/>
        <v>10.1776</v>
      </c>
      <c r="N15">
        <f t="shared" si="2"/>
        <v>15.592000000000001</v>
      </c>
    </row>
    <row r="16" spans="1:14">
      <c r="A16" s="2">
        <v>11</v>
      </c>
      <c r="B16" s="2" t="s">
        <v>115</v>
      </c>
      <c r="C16" s="2" t="s">
        <v>116</v>
      </c>
      <c r="D16" s="5"/>
      <c r="E16" s="3">
        <v>2</v>
      </c>
      <c r="F16" s="3">
        <v>2</v>
      </c>
      <c r="G16" s="4">
        <v>0.55000000000000004</v>
      </c>
      <c r="H16" s="4">
        <v>16.03</v>
      </c>
      <c r="I16" s="4">
        <v>10.33</v>
      </c>
      <c r="J16" s="4">
        <v>11.71</v>
      </c>
      <c r="K16">
        <f t="shared" si="0"/>
        <v>1.7658</v>
      </c>
      <c r="L16">
        <f t="shared" si="1"/>
        <v>1.7934000000000001</v>
      </c>
      <c r="M16">
        <f t="shared" si="3"/>
        <v>1.6794</v>
      </c>
      <c r="N16">
        <f t="shared" si="2"/>
        <v>1.9890000000000001</v>
      </c>
    </row>
    <row r="17" spans="1:14" ht="15">
      <c r="A17" s="2">
        <v>12</v>
      </c>
      <c r="B17" s="2" t="s">
        <v>119</v>
      </c>
      <c r="C17" s="2" t="s">
        <v>120</v>
      </c>
      <c r="D17" s="6" t="s">
        <v>121</v>
      </c>
      <c r="E17" s="3">
        <v>8</v>
      </c>
      <c r="F17" s="3">
        <v>32</v>
      </c>
      <c r="G17" s="4">
        <v>3.73</v>
      </c>
      <c r="H17" s="4">
        <v>47.59</v>
      </c>
      <c r="I17" s="4">
        <v>23.04</v>
      </c>
      <c r="J17" s="4">
        <v>24.34</v>
      </c>
      <c r="K17">
        <f t="shared" si="0"/>
        <v>24.211199999999998</v>
      </c>
      <c r="L17">
        <f t="shared" si="1"/>
        <v>24.627200000000002</v>
      </c>
      <c r="M17">
        <f t="shared" si="3"/>
        <v>4.1928000000000001</v>
      </c>
      <c r="N17">
        <f t="shared" si="2"/>
        <v>7.7016</v>
      </c>
    </row>
    <row r="18" spans="1:14">
      <c r="A18" s="2">
        <v>13</v>
      </c>
      <c r="B18" s="2" t="s">
        <v>148</v>
      </c>
      <c r="C18" s="2" t="s">
        <v>149</v>
      </c>
      <c r="D18" s="5"/>
      <c r="E18" s="3">
        <v>8</v>
      </c>
      <c r="F18" s="3">
        <v>32</v>
      </c>
      <c r="G18" s="4">
        <v>2.96</v>
      </c>
      <c r="H18" s="4">
        <v>61.9</v>
      </c>
      <c r="I18" s="4">
        <v>33.14</v>
      </c>
      <c r="J18" s="4">
        <v>34.96</v>
      </c>
      <c r="K18">
        <f t="shared" si="0"/>
        <v>20.812799999999999</v>
      </c>
      <c r="L18">
        <f t="shared" si="1"/>
        <v>21.395199999999999</v>
      </c>
      <c r="M18">
        <f t="shared" si="3"/>
        <v>3.048</v>
      </c>
      <c r="N18">
        <f t="shared" si="2"/>
        <v>7.7632000000000003</v>
      </c>
    </row>
    <row r="19" spans="1:14">
      <c r="A19" s="2">
        <v>14</v>
      </c>
      <c r="B19" s="2" t="s">
        <v>158</v>
      </c>
      <c r="C19" s="2" t="s">
        <v>159</v>
      </c>
      <c r="D19" s="5"/>
      <c r="E19" s="3">
        <v>2</v>
      </c>
      <c r="F19" s="3">
        <v>2</v>
      </c>
      <c r="G19" s="4">
        <v>0.55000000000000004</v>
      </c>
      <c r="H19" s="4">
        <v>17.03</v>
      </c>
      <c r="I19" s="4">
        <v>9.52</v>
      </c>
      <c r="J19" s="4">
        <v>10.57</v>
      </c>
      <c r="K19">
        <f t="shared" si="0"/>
        <v>1.7886</v>
      </c>
      <c r="L19">
        <f t="shared" si="1"/>
        <v>1.8096000000000001</v>
      </c>
      <c r="M19">
        <f t="shared" si="3"/>
        <v>1.6594</v>
      </c>
      <c r="N19">
        <f t="shared" si="2"/>
        <v>1.9890000000000001</v>
      </c>
    </row>
    <row r="20" spans="1:14">
      <c r="A20" s="2">
        <v>15</v>
      </c>
      <c r="B20" s="2" t="s">
        <v>165</v>
      </c>
      <c r="C20" s="2" t="s">
        <v>166</v>
      </c>
      <c r="D20" s="5"/>
      <c r="E20" s="3">
        <v>2</v>
      </c>
      <c r="F20" s="3">
        <v>8</v>
      </c>
      <c r="G20" s="4">
        <v>2.3199999999999998</v>
      </c>
      <c r="H20" s="4">
        <v>97.26</v>
      </c>
      <c r="I20" s="4">
        <v>36.1</v>
      </c>
      <c r="J20" s="4">
        <v>60.97</v>
      </c>
      <c r="K20">
        <f t="shared" si="0"/>
        <v>3.1223999999999998</v>
      </c>
      <c r="L20">
        <f t="shared" si="1"/>
        <v>5.1120000000000001</v>
      </c>
      <c r="M20">
        <f t="shared" si="3"/>
        <v>5.479999999999996E-2</v>
      </c>
      <c r="N20">
        <f t="shared" si="2"/>
        <v>1.9536</v>
      </c>
    </row>
    <row r="21" spans="1:14">
      <c r="A21" s="2">
        <v>16</v>
      </c>
      <c r="B21" s="2" t="s">
        <v>184</v>
      </c>
      <c r="C21" s="2" t="s">
        <v>185</v>
      </c>
      <c r="D21" s="5"/>
      <c r="E21" s="3">
        <v>8</v>
      </c>
      <c r="F21" s="3">
        <v>64</v>
      </c>
      <c r="G21" s="4">
        <v>1.85</v>
      </c>
      <c r="H21" s="4">
        <v>100</v>
      </c>
      <c r="I21" s="4">
        <v>37.86</v>
      </c>
      <c r="J21" s="4">
        <v>66.27</v>
      </c>
      <c r="K21">
        <f t="shared" si="0"/>
        <v>21.587200000000003</v>
      </c>
      <c r="L21">
        <f t="shared" si="1"/>
        <v>39.769599999999997</v>
      </c>
      <c r="M21">
        <f t="shared" si="3"/>
        <v>0</v>
      </c>
      <c r="N21">
        <f t="shared" si="2"/>
        <v>7.8520000000000003</v>
      </c>
    </row>
    <row r="22" spans="1:14">
      <c r="K22">
        <f>SUM(K6:K21)</f>
        <v>232.68369999999999</v>
      </c>
      <c r="L22">
        <f>SUM(L6:L21)</f>
        <v>274.84030000000001</v>
      </c>
      <c r="M22">
        <f>SUM(M6:M21)</f>
        <v>47.817799999999998</v>
      </c>
      <c r="N22">
        <f>SUM(N6:N21)</f>
        <v>85.604599999999991</v>
      </c>
    </row>
    <row r="25" spans="1:14" ht="28.5">
      <c r="J25" s="17" t="s">
        <v>203</v>
      </c>
      <c r="K25">
        <f>K22-(K22*0.3)</f>
        <v>162.87858999999997</v>
      </c>
      <c r="L25" s="18">
        <f>L22-L22*0.3</f>
        <v>192.38821000000002</v>
      </c>
      <c r="M25">
        <f>M22-(M22*0.3)</f>
        <v>33.472459999999998</v>
      </c>
      <c r="N25" s="18">
        <f>N22-(N22*0.3)</f>
        <v>59.923219999999993</v>
      </c>
    </row>
  </sheetData>
  <mergeCells count="2">
    <mergeCell ref="A1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All Servers</vt:lpstr>
      <vt:lpstr>CPU Underutilized</vt:lpstr>
      <vt:lpstr>RAM Underutilized</vt:lpstr>
      <vt:lpstr>Overall Underutilized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Sen</dc:creator>
  <cp:lastModifiedBy>Sourav Sen</cp:lastModifiedBy>
  <dcterms:created xsi:type="dcterms:W3CDTF">2026-08-05T13:43:27Z</dcterms:created>
  <dcterms:modified xsi:type="dcterms:W3CDTF">2026-08-06T08:30:29Z</dcterms:modified>
</cp:coreProperties>
</file>